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Users\Coert\src\MIDImike\validation\"/>
    </mc:Choice>
  </mc:AlternateContent>
  <xr:revisionPtr revIDLastSave="0" documentId="13_ncr:1_{3240F2BC-21AD-4DC4-A930-C14382796778}" xr6:coauthVersionLast="47" xr6:coauthVersionMax="47" xr10:uidLastSave="{00000000-0000-0000-0000-000000000000}"/>
  <bookViews>
    <workbookView xWindow="13500" yWindow="8448" windowWidth="14184" windowHeight="11616" xr2:uid="{00000000-000D-0000-FFFF-FFFF00000000}"/>
  </bookViews>
  <sheets>
    <sheet name="Chart" sheetId="4" r:id="rId1"/>
    <sheet name="Sheet" sheetId="1" r:id="rId2"/>
  </sheets>
  <functionGroups builtInGroupCount="19"/>
  <definedNames>
    <definedName name="_xlnm._FilterDatabase" localSheetId="1" hidden="1">Sheet!$A$1:$M$201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1" i="1" l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49" i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117" i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O1" i="1"/>
  <c r="N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1" authorId="0" shapeId="0" xr:uid="{00000000-0006-0000-0100-000001000000}">
      <text>
        <r>
          <rPr>
            <sz val="9"/>
            <color indexed="81"/>
            <rFont val="Tahoma"/>
            <family val="2"/>
          </rPr>
          <t>Note played on instrument</t>
        </r>
      </text>
    </comment>
    <comment ref="C1" authorId="0" shapeId="0" xr:uid="{00000000-0006-0000-0100-000002000000}">
      <text>
        <r>
          <rPr>
            <sz val="9"/>
            <color indexed="81"/>
            <rFont val="Tahoma"/>
            <family val="2"/>
          </rPr>
          <t>Sample Rate [Hz]</t>
        </r>
      </text>
    </comment>
    <comment ref="D1" authorId="0" shapeId="0" xr:uid="{00000000-0006-0000-0100-000003000000}">
      <text>
        <r>
          <rPr>
            <sz val="9"/>
            <color indexed="81"/>
            <rFont val="Tahoma"/>
            <family val="2"/>
          </rPr>
          <t>Frequency of tone played in instrument [Hz]</t>
        </r>
      </text>
    </comment>
    <comment ref="E1" authorId="0" shapeId="0" xr:uid="{00000000-0006-0000-0100-000004000000}">
      <text>
        <r>
          <rPr>
            <sz val="9"/>
            <color indexed="81"/>
            <rFont val="Tahoma"/>
            <family val="2"/>
          </rPr>
          <t>50 samples</t>
        </r>
      </text>
    </comment>
    <comment ref="F1" authorId="0" shapeId="0" xr:uid="{00000000-0006-0000-0100-000005000000}">
      <text>
        <r>
          <rPr>
            <sz val="9"/>
            <color indexed="81"/>
            <rFont val="Tahoma"/>
            <family val="2"/>
          </rPr>
          <t>100 samples</t>
        </r>
      </text>
    </comment>
    <comment ref="G1" authorId="0" shapeId="0" xr:uid="{00000000-0006-0000-0100-000006000000}">
      <text>
        <r>
          <rPr>
            <sz val="9"/>
            <color indexed="81"/>
            <rFont val="Tahoma"/>
            <family val="2"/>
          </rPr>
          <t>150 samples</t>
        </r>
      </text>
    </comment>
    <comment ref="H1" authorId="0" shapeId="0" xr:uid="{00000000-0006-0000-0100-000007000000}">
      <text>
        <r>
          <rPr>
            <sz val="9"/>
            <color indexed="81"/>
            <rFont val="Tahoma"/>
            <family val="2"/>
          </rPr>
          <t>175 samples</t>
        </r>
      </text>
    </comment>
    <comment ref="J1" authorId="0" shapeId="0" xr:uid="{00000000-0006-0000-0100-000008000000}">
      <text>
        <r>
          <rPr>
            <sz val="9"/>
            <color indexed="81"/>
            <rFont val="Tahoma"/>
            <family val="2"/>
          </rPr>
          <t>150 samples, with
normalized autocorrelation</t>
        </r>
      </text>
    </comment>
    <comment ref="K1" authorId="0" shapeId="0" xr:uid="{00000000-0006-0000-0100-000009000000}">
      <text>
        <r>
          <rPr>
            <sz val="9"/>
            <color indexed="81"/>
            <rFont val="Tahoma"/>
            <family val="2"/>
          </rPr>
          <t>150 samples, with
quadrupic interpolation</t>
        </r>
      </text>
    </comment>
  </commentList>
</comments>
</file>

<file path=xl/sharedStrings.xml><?xml version="1.0" encoding="utf-8"?>
<sst xmlns="http://schemas.openxmlformats.org/spreadsheetml/2006/main" count="218" uniqueCount="104">
  <si>
    <t>instrument</t>
  </si>
  <si>
    <t>A3</t>
  </si>
  <si>
    <t>A4</t>
  </si>
  <si>
    <t>A5</t>
  </si>
  <si>
    <t>A6</t>
  </si>
  <si>
    <t>Ab3</t>
  </si>
  <si>
    <t>Ab4</t>
  </si>
  <si>
    <t>Ab5</t>
  </si>
  <si>
    <t>Ab6</t>
  </si>
  <si>
    <t>B3</t>
  </si>
  <si>
    <t>B4</t>
  </si>
  <si>
    <t>B5</t>
  </si>
  <si>
    <t>B6</t>
  </si>
  <si>
    <t>Bb3</t>
  </si>
  <si>
    <t>Bb4</t>
  </si>
  <si>
    <t>Bb5</t>
  </si>
  <si>
    <t>Bb6</t>
  </si>
  <si>
    <t>C4</t>
  </si>
  <si>
    <t>C5</t>
  </si>
  <si>
    <t>C6</t>
  </si>
  <si>
    <t>D3</t>
  </si>
  <si>
    <t>D4</t>
  </si>
  <si>
    <t>D5</t>
  </si>
  <si>
    <t>D6</t>
  </si>
  <si>
    <t>Db4</t>
  </si>
  <si>
    <t>Db5</t>
  </si>
  <si>
    <t>Db6</t>
  </si>
  <si>
    <t>E3</t>
  </si>
  <si>
    <t>E4</t>
  </si>
  <si>
    <t>E5</t>
  </si>
  <si>
    <t>E6</t>
  </si>
  <si>
    <t>Eb1</t>
  </si>
  <si>
    <t>Eb4</t>
  </si>
  <si>
    <t>Eb5</t>
  </si>
  <si>
    <t>Eb6</t>
  </si>
  <si>
    <t>F3</t>
  </si>
  <si>
    <t>F4</t>
  </si>
  <si>
    <t>F5</t>
  </si>
  <si>
    <t>F6</t>
  </si>
  <si>
    <t>G3</t>
  </si>
  <si>
    <t>G4</t>
  </si>
  <si>
    <t>G5</t>
  </si>
  <si>
    <t>G6</t>
  </si>
  <si>
    <t>Gb3</t>
  </si>
  <si>
    <t>Gb4</t>
  </si>
  <si>
    <t>Gb5</t>
  </si>
  <si>
    <t>Gb6</t>
  </si>
  <si>
    <t>A1</t>
  </si>
  <si>
    <t>A2</t>
  </si>
  <si>
    <t>A7</t>
  </si>
  <si>
    <t>Ab1</t>
  </si>
  <si>
    <t>Ab2</t>
  </si>
  <si>
    <t>Ab7</t>
  </si>
  <si>
    <t>B0</t>
  </si>
  <si>
    <t>B1</t>
  </si>
  <si>
    <t>B2</t>
  </si>
  <si>
    <t>B7</t>
  </si>
  <si>
    <t>Bb1</t>
  </si>
  <si>
    <t>Bb2</t>
  </si>
  <si>
    <t>Bb7</t>
  </si>
  <si>
    <t>C1</t>
  </si>
  <si>
    <t>C2</t>
  </si>
  <si>
    <t>C3</t>
  </si>
  <si>
    <t>C7</t>
  </si>
  <si>
    <t>C8</t>
  </si>
  <si>
    <t>D1</t>
  </si>
  <si>
    <t>D2</t>
  </si>
  <si>
    <t>D7</t>
  </si>
  <si>
    <t>Db7</t>
  </si>
  <si>
    <t>Db1</t>
  </si>
  <si>
    <t>Db2</t>
  </si>
  <si>
    <t>Db3</t>
  </si>
  <si>
    <t>E1</t>
  </si>
  <si>
    <t>E2</t>
  </si>
  <si>
    <t>E7</t>
  </si>
  <si>
    <t>Eb2</t>
  </si>
  <si>
    <t>Eb3</t>
  </si>
  <si>
    <t>Eb7</t>
  </si>
  <si>
    <t>F1</t>
  </si>
  <si>
    <t>F2</t>
  </si>
  <si>
    <t>F7</t>
  </si>
  <si>
    <t>G1</t>
  </si>
  <si>
    <t>G2</t>
  </si>
  <si>
    <t>G7</t>
  </si>
  <si>
    <t>Gb1</t>
  </si>
  <si>
    <t>Gb2</t>
  </si>
  <si>
    <t>Gb7</t>
  </si>
  <si>
    <t>sampleRate</t>
  </si>
  <si>
    <t>note</t>
  </si>
  <si>
    <t>freq(in)</t>
  </si>
  <si>
    <t>B♭ Clarinet pianissimo</t>
  </si>
  <si>
    <t>Piano mezzo-forte</t>
  </si>
  <si>
    <t>200S, ip</t>
  </si>
  <si>
    <t>200S</t>
  </si>
  <si>
    <t>spare2</t>
  </si>
  <si>
    <t>spare3</t>
  </si>
  <si>
    <t>spare4</t>
  </si>
  <si>
    <t>spare5</t>
  </si>
  <si>
    <t>spare6</t>
  </si>
  <si>
    <t>spare7</t>
  </si>
  <si>
    <t>requires macros</t>
  </si>
  <si>
    <t>E♭ Alto Saxophone fortissimo</t>
  </si>
  <si>
    <t>B♭ Trumpet fortissimo</t>
  </si>
  <si>
    <t>200S, ip, norm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</si>
</sst>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0" xfId="0" applyFont="1" applyBorder="1"/>
    <xf numFmtId="0" fontId="3" fillId="2" borderId="2" xfId="0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164" fontId="3" fillId="2" borderId="3" xfId="0" applyNumberFormat="1" applyFont="1" applyFill="1" applyBorder="1" applyAlignment="1">
      <alignment horizontal="center"/>
    </xf>
    <xf numFmtId="164" fontId="3" fillId="2" borderId="2" xfId="0" applyNumberFormat="1" applyFont="1" applyFill="1" applyBorder="1"/>
    <xf numFmtId="164" fontId="2" fillId="0" borderId="0" xfId="0" applyNumberFormat="1" applyFont="1"/>
    <xf numFmtId="164" fontId="2" fillId="0" borderId="1" xfId="0" applyNumberFormat="1" applyFont="1" applyBorder="1"/>
    <xf numFmtId="164" fontId="2" fillId="0" borderId="0" xfId="0" applyNumberFormat="1" applyFont="1" applyBorder="1"/>
    <xf numFmtId="0" fontId="4" fillId="0" borderId="0" xfId="0" applyFont="1" applyFill="1" applyBorder="1"/>
    <xf numFmtId="0" fontId="5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Test set from University of Iowa Electronic Music Studios </a:t>
            </a:r>
          </a:p>
        </c:rich>
      </c:tx>
      <c:layout>
        <c:manualLayout>
          <c:xMode val="edge"/>
          <c:yMode val="edge"/>
          <c:x val="0.26072743444156504"/>
          <c:y val="2.42307684969482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7627713432287475E-2"/>
          <c:y val="1.8354807136438306E-2"/>
          <c:w val="0.87745951588220861"/>
          <c:h val="0.84555238202445826"/>
        </c:manualLayout>
      </c:layout>
      <c:lineChart>
        <c:grouping val="standard"/>
        <c:varyColors val="0"/>
        <c:ser>
          <c:idx val="1"/>
          <c:order val="0"/>
          <c:tx>
            <c:strRef>
              <c:f>Sheet!$E$1</c:f>
              <c:strCache>
                <c:ptCount val="1"/>
                <c:pt idx="0">
                  <c:v>200S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Sheet!$B$2:$B$201</c:f>
              <c:strCache>
                <c:ptCount val="86"/>
                <c:pt idx="0">
                  <c:v>B0</c:v>
                </c:pt>
                <c:pt idx="1">
                  <c:v>C1</c:v>
                </c:pt>
                <c:pt idx="2">
                  <c:v>Db1</c:v>
                </c:pt>
                <c:pt idx="3">
                  <c:v>D1</c:v>
                </c:pt>
                <c:pt idx="4">
                  <c:v>Eb1</c:v>
                </c:pt>
                <c:pt idx="5">
                  <c:v>E1</c:v>
                </c:pt>
                <c:pt idx="6">
                  <c:v>F1</c:v>
                </c:pt>
                <c:pt idx="7">
                  <c:v>Gb1</c:v>
                </c:pt>
                <c:pt idx="8">
                  <c:v>G1</c:v>
                </c:pt>
                <c:pt idx="9">
                  <c:v>Ab1</c:v>
                </c:pt>
                <c:pt idx="10">
                  <c:v>A1</c:v>
                </c:pt>
                <c:pt idx="11">
                  <c:v>Bb1</c:v>
                </c:pt>
                <c:pt idx="12">
                  <c:v>B1</c:v>
                </c:pt>
                <c:pt idx="13">
                  <c:v>C2</c:v>
                </c:pt>
                <c:pt idx="14">
                  <c:v>Db2</c:v>
                </c:pt>
                <c:pt idx="15">
                  <c:v>D2</c:v>
                </c:pt>
                <c:pt idx="16">
                  <c:v>Eb2</c:v>
                </c:pt>
                <c:pt idx="17">
                  <c:v>E2</c:v>
                </c:pt>
                <c:pt idx="18">
                  <c:v>F2</c:v>
                </c:pt>
                <c:pt idx="19">
                  <c:v>Gb2</c:v>
                </c:pt>
                <c:pt idx="20">
                  <c:v>G2</c:v>
                </c:pt>
                <c:pt idx="21">
                  <c:v>Ab2</c:v>
                </c:pt>
                <c:pt idx="22">
                  <c:v>A2</c:v>
                </c:pt>
                <c:pt idx="23">
                  <c:v>Bb2</c:v>
                </c:pt>
                <c:pt idx="24">
                  <c:v>B2</c:v>
                </c:pt>
                <c:pt idx="25">
                  <c:v>C3</c:v>
                </c:pt>
                <c:pt idx="26">
                  <c:v>Db3</c:v>
                </c:pt>
                <c:pt idx="27">
                  <c:v>D3</c:v>
                </c:pt>
                <c:pt idx="28">
                  <c:v>Eb3</c:v>
                </c:pt>
                <c:pt idx="29">
                  <c:v>E3</c:v>
                </c:pt>
                <c:pt idx="30">
                  <c:v>F3</c:v>
                </c:pt>
                <c:pt idx="31">
                  <c:v>Gb3</c:v>
                </c:pt>
                <c:pt idx="32">
                  <c:v>G3</c:v>
                </c:pt>
                <c:pt idx="33">
                  <c:v>Ab3</c:v>
                </c:pt>
                <c:pt idx="34">
                  <c:v>A3</c:v>
                </c:pt>
                <c:pt idx="35">
                  <c:v>Bb3</c:v>
                </c:pt>
                <c:pt idx="36">
                  <c:v>B3</c:v>
                </c:pt>
                <c:pt idx="37">
                  <c:v>C4</c:v>
                </c:pt>
                <c:pt idx="38">
                  <c:v>Db4</c:v>
                </c:pt>
                <c:pt idx="39">
                  <c:v>D4</c:v>
                </c:pt>
                <c:pt idx="40">
                  <c:v>Eb4</c:v>
                </c:pt>
                <c:pt idx="41">
                  <c:v>E4</c:v>
                </c:pt>
                <c:pt idx="42">
                  <c:v>F4</c:v>
                </c:pt>
                <c:pt idx="43">
                  <c:v>Gb4</c:v>
                </c:pt>
                <c:pt idx="44">
                  <c:v>G4</c:v>
                </c:pt>
                <c:pt idx="45">
                  <c:v>Ab4</c:v>
                </c:pt>
                <c:pt idx="46">
                  <c:v>A4</c:v>
                </c:pt>
                <c:pt idx="47">
                  <c:v>Bb4</c:v>
                </c:pt>
                <c:pt idx="48">
                  <c:v>B4</c:v>
                </c:pt>
                <c:pt idx="49">
                  <c:v>C5</c:v>
                </c:pt>
                <c:pt idx="50">
                  <c:v>Db5</c:v>
                </c:pt>
                <c:pt idx="51">
                  <c:v>D5</c:v>
                </c:pt>
                <c:pt idx="52">
                  <c:v>Eb5</c:v>
                </c:pt>
                <c:pt idx="53">
                  <c:v>E5</c:v>
                </c:pt>
                <c:pt idx="54">
                  <c:v>F5</c:v>
                </c:pt>
                <c:pt idx="55">
                  <c:v>Gb5</c:v>
                </c:pt>
                <c:pt idx="56">
                  <c:v>G5</c:v>
                </c:pt>
                <c:pt idx="57">
                  <c:v>Ab5</c:v>
                </c:pt>
                <c:pt idx="58">
                  <c:v>A5</c:v>
                </c:pt>
                <c:pt idx="59">
                  <c:v>Bb5</c:v>
                </c:pt>
                <c:pt idx="60">
                  <c:v>B5</c:v>
                </c:pt>
                <c:pt idx="61">
                  <c:v>C6</c:v>
                </c:pt>
                <c:pt idx="62">
                  <c:v>Db6</c:v>
                </c:pt>
                <c:pt idx="63">
                  <c:v>D6</c:v>
                </c:pt>
                <c:pt idx="64">
                  <c:v>Eb6</c:v>
                </c:pt>
                <c:pt idx="65">
                  <c:v>E6</c:v>
                </c:pt>
                <c:pt idx="66">
                  <c:v>F6</c:v>
                </c:pt>
                <c:pt idx="67">
                  <c:v>Gb6</c:v>
                </c:pt>
                <c:pt idx="68">
                  <c:v>G6</c:v>
                </c:pt>
                <c:pt idx="69">
                  <c:v>Ab6</c:v>
                </c:pt>
                <c:pt idx="70">
                  <c:v>A6</c:v>
                </c:pt>
                <c:pt idx="71">
                  <c:v>Bb6</c:v>
                </c:pt>
                <c:pt idx="72">
                  <c:v>B6</c:v>
                </c:pt>
                <c:pt idx="73">
                  <c:v>C7</c:v>
                </c:pt>
                <c:pt idx="74">
                  <c:v>Db7</c:v>
                </c:pt>
                <c:pt idx="75">
                  <c:v>D7</c:v>
                </c:pt>
                <c:pt idx="76">
                  <c:v>Eb7</c:v>
                </c:pt>
                <c:pt idx="77">
                  <c:v>E7</c:v>
                </c:pt>
                <c:pt idx="78">
                  <c:v>F7</c:v>
                </c:pt>
                <c:pt idx="79">
                  <c:v>Gb7</c:v>
                </c:pt>
                <c:pt idx="80">
                  <c:v>G7</c:v>
                </c:pt>
                <c:pt idx="81">
                  <c:v>Ab7</c:v>
                </c:pt>
                <c:pt idx="82">
                  <c:v>A7</c:v>
                </c:pt>
                <c:pt idx="83">
                  <c:v>Bb7</c:v>
                </c:pt>
                <c:pt idx="84">
                  <c:v>B7</c:v>
                </c:pt>
                <c:pt idx="85">
                  <c:v>C8</c:v>
                </c:pt>
              </c:strCache>
              <c:extLst xmlns:c15="http://schemas.microsoft.com/office/drawing/2012/chart"/>
            </c:strRef>
          </c:cat>
          <c:val>
            <c:numRef>
              <c:f>Sheet!$E$2:$E$201</c:f>
              <c:numCache>
                <c:formatCode>General</c:formatCode>
                <c:ptCount val="86"/>
                <c:pt idx="27">
                  <c:v>147.91999999999999</c:v>
                </c:pt>
                <c:pt idx="28">
                  <c:v>157.62</c:v>
                </c:pt>
                <c:pt idx="29">
                  <c:v>165.78</c:v>
                </c:pt>
                <c:pt idx="30">
                  <c:v>174.82</c:v>
                </c:pt>
                <c:pt idx="31">
                  <c:v>184.9</c:v>
                </c:pt>
                <c:pt idx="32">
                  <c:v>196.22</c:v>
                </c:pt>
                <c:pt idx="33">
                  <c:v>209.02</c:v>
                </c:pt>
                <c:pt idx="34">
                  <c:v>223.6</c:v>
                </c:pt>
                <c:pt idx="35">
                  <c:v>234.51</c:v>
                </c:pt>
                <c:pt idx="36">
                  <c:v>246.54</c:v>
                </c:pt>
                <c:pt idx="37">
                  <c:v>259.86</c:v>
                </c:pt>
                <c:pt idx="38">
                  <c:v>282.79000000000002</c:v>
                </c:pt>
                <c:pt idx="39">
                  <c:v>291.36</c:v>
                </c:pt>
                <c:pt idx="40">
                  <c:v>310.16000000000003</c:v>
                </c:pt>
                <c:pt idx="41">
                  <c:v>331.55</c:v>
                </c:pt>
                <c:pt idx="42">
                  <c:v>356.11</c:v>
                </c:pt>
                <c:pt idx="43">
                  <c:v>369.81</c:v>
                </c:pt>
                <c:pt idx="44">
                  <c:v>400.63</c:v>
                </c:pt>
                <c:pt idx="45">
                  <c:v>418.04</c:v>
                </c:pt>
                <c:pt idx="46">
                  <c:v>437.05</c:v>
                </c:pt>
                <c:pt idx="47">
                  <c:v>457.86</c:v>
                </c:pt>
                <c:pt idx="48">
                  <c:v>506.05</c:v>
                </c:pt>
                <c:pt idx="49">
                  <c:v>534.16999999999996</c:v>
                </c:pt>
                <c:pt idx="50">
                  <c:v>565.59</c:v>
                </c:pt>
                <c:pt idx="51">
                  <c:v>600.94000000000005</c:v>
                </c:pt>
                <c:pt idx="52">
                  <c:v>641</c:v>
                </c:pt>
                <c:pt idx="53">
                  <c:v>641</c:v>
                </c:pt>
                <c:pt idx="54">
                  <c:v>686.79</c:v>
                </c:pt>
                <c:pt idx="55">
                  <c:v>739.62</c:v>
                </c:pt>
                <c:pt idx="56">
                  <c:v>801.25</c:v>
                </c:pt>
                <c:pt idx="57">
                  <c:v>874.09</c:v>
                </c:pt>
                <c:pt idx="58">
                  <c:v>874.09</c:v>
                </c:pt>
                <c:pt idx="59">
                  <c:v>961.5</c:v>
                </c:pt>
                <c:pt idx="60">
                  <c:v>961.5</c:v>
                </c:pt>
                <c:pt idx="61">
                  <c:v>1068.33</c:v>
                </c:pt>
                <c:pt idx="62">
                  <c:v>1068.33</c:v>
                </c:pt>
                <c:pt idx="63">
                  <c:v>1201.8800000000001</c:v>
                </c:pt>
                <c:pt idx="64">
                  <c:v>1201.8800000000001</c:v>
                </c:pt>
                <c:pt idx="65">
                  <c:v>1373.57</c:v>
                </c:pt>
                <c:pt idx="66">
                  <c:v>1373.57</c:v>
                </c:pt>
                <c:pt idx="82">
                  <c:v>801.25</c:v>
                </c:pt>
                <c:pt idx="83">
                  <c:v>457.86</c:v>
                </c:pt>
                <c:pt idx="85">
                  <c:v>282.79000000000002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DF-4F0C-A642-8238D955ED73}"/>
            </c:ext>
          </c:extLst>
        </c:ser>
        <c:ser>
          <c:idx val="2"/>
          <c:order val="1"/>
          <c:tx>
            <c:strRef>
              <c:f>Sheet!$F$1</c:f>
              <c:strCache>
                <c:ptCount val="1"/>
                <c:pt idx="0">
                  <c:v>200S, ip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Sheet!$B$2:$B$201</c:f>
              <c:strCache>
                <c:ptCount val="86"/>
                <c:pt idx="0">
                  <c:v>B0</c:v>
                </c:pt>
                <c:pt idx="1">
                  <c:v>C1</c:v>
                </c:pt>
                <c:pt idx="2">
                  <c:v>Db1</c:v>
                </c:pt>
                <c:pt idx="3">
                  <c:v>D1</c:v>
                </c:pt>
                <c:pt idx="4">
                  <c:v>Eb1</c:v>
                </c:pt>
                <c:pt idx="5">
                  <c:v>E1</c:v>
                </c:pt>
                <c:pt idx="6">
                  <c:v>F1</c:v>
                </c:pt>
                <c:pt idx="7">
                  <c:v>Gb1</c:v>
                </c:pt>
                <c:pt idx="8">
                  <c:v>G1</c:v>
                </c:pt>
                <c:pt idx="9">
                  <c:v>Ab1</c:v>
                </c:pt>
                <c:pt idx="10">
                  <c:v>A1</c:v>
                </c:pt>
                <c:pt idx="11">
                  <c:v>Bb1</c:v>
                </c:pt>
                <c:pt idx="12">
                  <c:v>B1</c:v>
                </c:pt>
                <c:pt idx="13">
                  <c:v>C2</c:v>
                </c:pt>
                <c:pt idx="14">
                  <c:v>Db2</c:v>
                </c:pt>
                <c:pt idx="15">
                  <c:v>D2</c:v>
                </c:pt>
                <c:pt idx="16">
                  <c:v>Eb2</c:v>
                </c:pt>
                <c:pt idx="17">
                  <c:v>E2</c:v>
                </c:pt>
                <c:pt idx="18">
                  <c:v>F2</c:v>
                </c:pt>
                <c:pt idx="19">
                  <c:v>Gb2</c:v>
                </c:pt>
                <c:pt idx="20">
                  <c:v>G2</c:v>
                </c:pt>
                <c:pt idx="21">
                  <c:v>Ab2</c:v>
                </c:pt>
                <c:pt idx="22">
                  <c:v>A2</c:v>
                </c:pt>
                <c:pt idx="23">
                  <c:v>Bb2</c:v>
                </c:pt>
                <c:pt idx="24">
                  <c:v>B2</c:v>
                </c:pt>
                <c:pt idx="25">
                  <c:v>C3</c:v>
                </c:pt>
                <c:pt idx="26">
                  <c:v>Db3</c:v>
                </c:pt>
                <c:pt idx="27">
                  <c:v>D3</c:v>
                </c:pt>
                <c:pt idx="28">
                  <c:v>Eb3</c:v>
                </c:pt>
                <c:pt idx="29">
                  <c:v>E3</c:v>
                </c:pt>
                <c:pt idx="30">
                  <c:v>F3</c:v>
                </c:pt>
                <c:pt idx="31">
                  <c:v>Gb3</c:v>
                </c:pt>
                <c:pt idx="32">
                  <c:v>G3</c:v>
                </c:pt>
                <c:pt idx="33">
                  <c:v>Ab3</c:v>
                </c:pt>
                <c:pt idx="34">
                  <c:v>A3</c:v>
                </c:pt>
                <c:pt idx="35">
                  <c:v>Bb3</c:v>
                </c:pt>
                <c:pt idx="36">
                  <c:v>B3</c:v>
                </c:pt>
                <c:pt idx="37">
                  <c:v>C4</c:v>
                </c:pt>
                <c:pt idx="38">
                  <c:v>Db4</c:v>
                </c:pt>
                <c:pt idx="39">
                  <c:v>D4</c:v>
                </c:pt>
                <c:pt idx="40">
                  <c:v>Eb4</c:v>
                </c:pt>
                <c:pt idx="41">
                  <c:v>E4</c:v>
                </c:pt>
                <c:pt idx="42">
                  <c:v>F4</c:v>
                </c:pt>
                <c:pt idx="43">
                  <c:v>Gb4</c:v>
                </c:pt>
                <c:pt idx="44">
                  <c:v>G4</c:v>
                </c:pt>
                <c:pt idx="45">
                  <c:v>Ab4</c:v>
                </c:pt>
                <c:pt idx="46">
                  <c:v>A4</c:v>
                </c:pt>
                <c:pt idx="47">
                  <c:v>Bb4</c:v>
                </c:pt>
                <c:pt idx="48">
                  <c:v>B4</c:v>
                </c:pt>
                <c:pt idx="49">
                  <c:v>C5</c:v>
                </c:pt>
                <c:pt idx="50">
                  <c:v>Db5</c:v>
                </c:pt>
                <c:pt idx="51">
                  <c:v>D5</c:v>
                </c:pt>
                <c:pt idx="52">
                  <c:v>Eb5</c:v>
                </c:pt>
                <c:pt idx="53">
                  <c:v>E5</c:v>
                </c:pt>
                <c:pt idx="54">
                  <c:v>F5</c:v>
                </c:pt>
                <c:pt idx="55">
                  <c:v>Gb5</c:v>
                </c:pt>
                <c:pt idx="56">
                  <c:v>G5</c:v>
                </c:pt>
                <c:pt idx="57">
                  <c:v>Ab5</c:v>
                </c:pt>
                <c:pt idx="58">
                  <c:v>A5</c:v>
                </c:pt>
                <c:pt idx="59">
                  <c:v>Bb5</c:v>
                </c:pt>
                <c:pt idx="60">
                  <c:v>B5</c:v>
                </c:pt>
                <c:pt idx="61">
                  <c:v>C6</c:v>
                </c:pt>
                <c:pt idx="62">
                  <c:v>Db6</c:v>
                </c:pt>
                <c:pt idx="63">
                  <c:v>D6</c:v>
                </c:pt>
                <c:pt idx="64">
                  <c:v>Eb6</c:v>
                </c:pt>
                <c:pt idx="65">
                  <c:v>E6</c:v>
                </c:pt>
                <c:pt idx="66">
                  <c:v>F6</c:v>
                </c:pt>
                <c:pt idx="67">
                  <c:v>Gb6</c:v>
                </c:pt>
                <c:pt idx="68">
                  <c:v>G6</c:v>
                </c:pt>
                <c:pt idx="69">
                  <c:v>Ab6</c:v>
                </c:pt>
                <c:pt idx="70">
                  <c:v>A6</c:v>
                </c:pt>
                <c:pt idx="71">
                  <c:v>Bb6</c:v>
                </c:pt>
                <c:pt idx="72">
                  <c:v>B6</c:v>
                </c:pt>
                <c:pt idx="73">
                  <c:v>C7</c:v>
                </c:pt>
                <c:pt idx="74">
                  <c:v>Db7</c:v>
                </c:pt>
                <c:pt idx="75">
                  <c:v>D7</c:v>
                </c:pt>
                <c:pt idx="76">
                  <c:v>Eb7</c:v>
                </c:pt>
                <c:pt idx="77">
                  <c:v>E7</c:v>
                </c:pt>
                <c:pt idx="78">
                  <c:v>F7</c:v>
                </c:pt>
                <c:pt idx="79">
                  <c:v>Gb7</c:v>
                </c:pt>
                <c:pt idx="80">
                  <c:v>G7</c:v>
                </c:pt>
                <c:pt idx="81">
                  <c:v>Ab7</c:v>
                </c:pt>
                <c:pt idx="82">
                  <c:v>A7</c:v>
                </c:pt>
                <c:pt idx="83">
                  <c:v>Bb7</c:v>
                </c:pt>
                <c:pt idx="84">
                  <c:v>B7</c:v>
                </c:pt>
                <c:pt idx="85">
                  <c:v>C8</c:v>
                </c:pt>
              </c:strCache>
              <c:extLst xmlns:c15="http://schemas.microsoft.com/office/drawing/2012/chart"/>
            </c:strRef>
          </c:cat>
          <c:val>
            <c:numRef>
              <c:f>Sheet!$F$2:$F$201</c:f>
              <c:numCache>
                <c:formatCode>General</c:formatCode>
                <c:ptCount val="86"/>
                <c:pt idx="27">
                  <c:v>147.43</c:v>
                </c:pt>
                <c:pt idx="28">
                  <c:v>156.37</c:v>
                </c:pt>
                <c:pt idx="29">
                  <c:v>166.19</c:v>
                </c:pt>
                <c:pt idx="30">
                  <c:v>175.31</c:v>
                </c:pt>
                <c:pt idx="31">
                  <c:v>185.98</c:v>
                </c:pt>
                <c:pt idx="32">
                  <c:v>197.11</c:v>
                </c:pt>
                <c:pt idx="33">
                  <c:v>209.17</c:v>
                </c:pt>
                <c:pt idx="34">
                  <c:v>221.27</c:v>
                </c:pt>
                <c:pt idx="35">
                  <c:v>235.83</c:v>
                </c:pt>
                <c:pt idx="36">
                  <c:v>248.26</c:v>
                </c:pt>
                <c:pt idx="37">
                  <c:v>262.94</c:v>
                </c:pt>
                <c:pt idx="38">
                  <c:v>278.74</c:v>
                </c:pt>
                <c:pt idx="39">
                  <c:v>294.99</c:v>
                </c:pt>
                <c:pt idx="40">
                  <c:v>312.51</c:v>
                </c:pt>
                <c:pt idx="41">
                  <c:v>331.63</c:v>
                </c:pt>
                <c:pt idx="42">
                  <c:v>350.73</c:v>
                </c:pt>
                <c:pt idx="43">
                  <c:v>371.62</c:v>
                </c:pt>
                <c:pt idx="44">
                  <c:v>396.11</c:v>
                </c:pt>
                <c:pt idx="45">
                  <c:v>417.79</c:v>
                </c:pt>
                <c:pt idx="46">
                  <c:v>441.62</c:v>
                </c:pt>
                <c:pt idx="47">
                  <c:v>467.49</c:v>
                </c:pt>
                <c:pt idx="48">
                  <c:v>498.52</c:v>
                </c:pt>
                <c:pt idx="49">
                  <c:v>526.1</c:v>
                </c:pt>
                <c:pt idx="50">
                  <c:v>557.20000000000005</c:v>
                </c:pt>
                <c:pt idx="51">
                  <c:v>589.96</c:v>
                </c:pt>
                <c:pt idx="52">
                  <c:v>624.58000000000004</c:v>
                </c:pt>
                <c:pt idx="53">
                  <c:v>662.34</c:v>
                </c:pt>
                <c:pt idx="54">
                  <c:v>702.05</c:v>
                </c:pt>
                <c:pt idx="55">
                  <c:v>742.5</c:v>
                </c:pt>
                <c:pt idx="56">
                  <c:v>788.33</c:v>
                </c:pt>
                <c:pt idx="57">
                  <c:v>838.32</c:v>
                </c:pt>
                <c:pt idx="58">
                  <c:v>885.05</c:v>
                </c:pt>
                <c:pt idx="59">
                  <c:v>938.23</c:v>
                </c:pt>
                <c:pt idx="60">
                  <c:v>997.98</c:v>
                </c:pt>
                <c:pt idx="61">
                  <c:v>1056.03</c:v>
                </c:pt>
                <c:pt idx="62">
                  <c:v>1111.3</c:v>
                </c:pt>
                <c:pt idx="63">
                  <c:v>1183.43</c:v>
                </c:pt>
                <c:pt idx="64">
                  <c:v>1250.05</c:v>
                </c:pt>
                <c:pt idx="65">
                  <c:v>1331.2</c:v>
                </c:pt>
                <c:pt idx="66">
                  <c:v>1394.92</c:v>
                </c:pt>
                <c:pt idx="67">
                  <c:v>1491.18</c:v>
                </c:pt>
                <c:pt idx="81">
                  <c:v>824.14</c:v>
                </c:pt>
                <c:pt idx="82">
                  <c:v>466.59</c:v>
                </c:pt>
                <c:pt idx="84">
                  <c:v>285.47000000000003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DDF-4F0C-A642-8238D955ED73}"/>
            </c:ext>
          </c:extLst>
        </c:ser>
        <c:ser>
          <c:idx val="3"/>
          <c:order val="2"/>
          <c:tx>
            <c:strRef>
              <c:f>Sheet!$G$1</c:f>
              <c:strCache>
                <c:ptCount val="1"/>
                <c:pt idx="0">
                  <c:v>200S, ip, norm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Sheet!$B$2:$B$201</c:f>
              <c:strCache>
                <c:ptCount val="86"/>
                <c:pt idx="0">
                  <c:v>B0</c:v>
                </c:pt>
                <c:pt idx="1">
                  <c:v>C1</c:v>
                </c:pt>
                <c:pt idx="2">
                  <c:v>Db1</c:v>
                </c:pt>
                <c:pt idx="3">
                  <c:v>D1</c:v>
                </c:pt>
                <c:pt idx="4">
                  <c:v>Eb1</c:v>
                </c:pt>
                <c:pt idx="5">
                  <c:v>E1</c:v>
                </c:pt>
                <c:pt idx="6">
                  <c:v>F1</c:v>
                </c:pt>
                <c:pt idx="7">
                  <c:v>Gb1</c:v>
                </c:pt>
                <c:pt idx="8">
                  <c:v>G1</c:v>
                </c:pt>
                <c:pt idx="9">
                  <c:v>Ab1</c:v>
                </c:pt>
                <c:pt idx="10">
                  <c:v>A1</c:v>
                </c:pt>
                <c:pt idx="11">
                  <c:v>Bb1</c:v>
                </c:pt>
                <c:pt idx="12">
                  <c:v>B1</c:v>
                </c:pt>
                <c:pt idx="13">
                  <c:v>C2</c:v>
                </c:pt>
                <c:pt idx="14">
                  <c:v>Db2</c:v>
                </c:pt>
                <c:pt idx="15">
                  <c:v>D2</c:v>
                </c:pt>
                <c:pt idx="16">
                  <c:v>Eb2</c:v>
                </c:pt>
                <c:pt idx="17">
                  <c:v>E2</c:v>
                </c:pt>
                <c:pt idx="18">
                  <c:v>F2</c:v>
                </c:pt>
                <c:pt idx="19">
                  <c:v>Gb2</c:v>
                </c:pt>
                <c:pt idx="20">
                  <c:v>G2</c:v>
                </c:pt>
                <c:pt idx="21">
                  <c:v>Ab2</c:v>
                </c:pt>
                <c:pt idx="22">
                  <c:v>A2</c:v>
                </c:pt>
                <c:pt idx="23">
                  <c:v>Bb2</c:v>
                </c:pt>
                <c:pt idx="24">
                  <c:v>B2</c:v>
                </c:pt>
                <c:pt idx="25">
                  <c:v>C3</c:v>
                </c:pt>
                <c:pt idx="26">
                  <c:v>Db3</c:v>
                </c:pt>
                <c:pt idx="27">
                  <c:v>D3</c:v>
                </c:pt>
                <c:pt idx="28">
                  <c:v>Eb3</c:v>
                </c:pt>
                <c:pt idx="29">
                  <c:v>E3</c:v>
                </c:pt>
                <c:pt idx="30">
                  <c:v>F3</c:v>
                </c:pt>
                <c:pt idx="31">
                  <c:v>Gb3</c:v>
                </c:pt>
                <c:pt idx="32">
                  <c:v>G3</c:v>
                </c:pt>
                <c:pt idx="33">
                  <c:v>Ab3</c:v>
                </c:pt>
                <c:pt idx="34">
                  <c:v>A3</c:v>
                </c:pt>
                <c:pt idx="35">
                  <c:v>Bb3</c:v>
                </c:pt>
                <c:pt idx="36">
                  <c:v>B3</c:v>
                </c:pt>
                <c:pt idx="37">
                  <c:v>C4</c:v>
                </c:pt>
                <c:pt idx="38">
                  <c:v>Db4</c:v>
                </c:pt>
                <c:pt idx="39">
                  <c:v>D4</c:v>
                </c:pt>
                <c:pt idx="40">
                  <c:v>Eb4</c:v>
                </c:pt>
                <c:pt idx="41">
                  <c:v>E4</c:v>
                </c:pt>
                <c:pt idx="42">
                  <c:v>F4</c:v>
                </c:pt>
                <c:pt idx="43">
                  <c:v>Gb4</c:v>
                </c:pt>
                <c:pt idx="44">
                  <c:v>G4</c:v>
                </c:pt>
                <c:pt idx="45">
                  <c:v>Ab4</c:v>
                </c:pt>
                <c:pt idx="46">
                  <c:v>A4</c:v>
                </c:pt>
                <c:pt idx="47">
                  <c:v>Bb4</c:v>
                </c:pt>
                <c:pt idx="48">
                  <c:v>B4</c:v>
                </c:pt>
                <c:pt idx="49">
                  <c:v>C5</c:v>
                </c:pt>
                <c:pt idx="50">
                  <c:v>Db5</c:v>
                </c:pt>
                <c:pt idx="51">
                  <c:v>D5</c:v>
                </c:pt>
                <c:pt idx="52">
                  <c:v>Eb5</c:v>
                </c:pt>
                <c:pt idx="53">
                  <c:v>E5</c:v>
                </c:pt>
                <c:pt idx="54">
                  <c:v>F5</c:v>
                </c:pt>
                <c:pt idx="55">
                  <c:v>Gb5</c:v>
                </c:pt>
                <c:pt idx="56">
                  <c:v>G5</c:v>
                </c:pt>
                <c:pt idx="57">
                  <c:v>Ab5</c:v>
                </c:pt>
                <c:pt idx="58">
                  <c:v>A5</c:v>
                </c:pt>
                <c:pt idx="59">
                  <c:v>Bb5</c:v>
                </c:pt>
                <c:pt idx="60">
                  <c:v>B5</c:v>
                </c:pt>
                <c:pt idx="61">
                  <c:v>C6</c:v>
                </c:pt>
                <c:pt idx="62">
                  <c:v>Db6</c:v>
                </c:pt>
                <c:pt idx="63">
                  <c:v>D6</c:v>
                </c:pt>
                <c:pt idx="64">
                  <c:v>Eb6</c:v>
                </c:pt>
                <c:pt idx="65">
                  <c:v>E6</c:v>
                </c:pt>
                <c:pt idx="66">
                  <c:v>F6</c:v>
                </c:pt>
                <c:pt idx="67">
                  <c:v>Gb6</c:v>
                </c:pt>
                <c:pt idx="68">
                  <c:v>G6</c:v>
                </c:pt>
                <c:pt idx="69">
                  <c:v>Ab6</c:v>
                </c:pt>
                <c:pt idx="70">
                  <c:v>A6</c:v>
                </c:pt>
                <c:pt idx="71">
                  <c:v>Bb6</c:v>
                </c:pt>
                <c:pt idx="72">
                  <c:v>B6</c:v>
                </c:pt>
                <c:pt idx="73">
                  <c:v>C7</c:v>
                </c:pt>
                <c:pt idx="74">
                  <c:v>Db7</c:v>
                </c:pt>
                <c:pt idx="75">
                  <c:v>D7</c:v>
                </c:pt>
                <c:pt idx="76">
                  <c:v>Eb7</c:v>
                </c:pt>
                <c:pt idx="77">
                  <c:v>E7</c:v>
                </c:pt>
                <c:pt idx="78">
                  <c:v>F7</c:v>
                </c:pt>
                <c:pt idx="79">
                  <c:v>Gb7</c:v>
                </c:pt>
                <c:pt idx="80">
                  <c:v>G7</c:v>
                </c:pt>
                <c:pt idx="81">
                  <c:v>Ab7</c:v>
                </c:pt>
                <c:pt idx="82">
                  <c:v>A7</c:v>
                </c:pt>
                <c:pt idx="83">
                  <c:v>Bb7</c:v>
                </c:pt>
                <c:pt idx="84">
                  <c:v>B7</c:v>
                </c:pt>
                <c:pt idx="85">
                  <c:v>C8</c:v>
                </c:pt>
              </c:strCache>
              <c:extLst xmlns:c15="http://schemas.microsoft.com/office/drawing/2012/chart"/>
            </c:strRef>
          </c:cat>
          <c:val>
            <c:numRef>
              <c:f>Sheet!$G$2:$G$201</c:f>
              <c:numCache>
                <c:formatCode>General</c:formatCode>
                <c:ptCount val="86"/>
                <c:pt idx="20">
                  <c:v>97.79</c:v>
                </c:pt>
                <c:pt idx="21">
                  <c:v>103.97</c:v>
                </c:pt>
                <c:pt idx="22">
                  <c:v>109.95</c:v>
                </c:pt>
                <c:pt idx="23">
                  <c:v>116.58</c:v>
                </c:pt>
                <c:pt idx="24">
                  <c:v>122.64</c:v>
                </c:pt>
                <c:pt idx="25">
                  <c:v>130.88</c:v>
                </c:pt>
                <c:pt idx="26">
                  <c:v>138.68</c:v>
                </c:pt>
                <c:pt idx="27">
                  <c:v>146.97</c:v>
                </c:pt>
                <c:pt idx="28">
                  <c:v>154.57</c:v>
                </c:pt>
                <c:pt idx="29">
                  <c:v>164.85</c:v>
                </c:pt>
                <c:pt idx="30">
                  <c:v>173.67</c:v>
                </c:pt>
                <c:pt idx="31">
                  <c:v>183.85</c:v>
                </c:pt>
                <c:pt idx="32">
                  <c:v>195.34</c:v>
                </c:pt>
                <c:pt idx="33">
                  <c:v>208.27</c:v>
                </c:pt>
                <c:pt idx="34">
                  <c:v>221.05</c:v>
                </c:pt>
                <c:pt idx="35">
                  <c:v>232.1</c:v>
                </c:pt>
                <c:pt idx="36">
                  <c:v>244.94</c:v>
                </c:pt>
                <c:pt idx="37">
                  <c:v>259.02</c:v>
                </c:pt>
                <c:pt idx="38">
                  <c:v>273.51</c:v>
                </c:pt>
                <c:pt idx="39">
                  <c:v>291.2</c:v>
                </c:pt>
                <c:pt idx="40">
                  <c:v>310.12</c:v>
                </c:pt>
                <c:pt idx="41">
                  <c:v>329.72</c:v>
                </c:pt>
                <c:pt idx="42">
                  <c:v>349.83</c:v>
                </c:pt>
                <c:pt idx="43">
                  <c:v>368.2</c:v>
                </c:pt>
                <c:pt idx="44">
                  <c:v>394.23</c:v>
                </c:pt>
                <c:pt idx="45">
                  <c:v>414.03</c:v>
                </c:pt>
                <c:pt idx="46">
                  <c:v>437.33</c:v>
                </c:pt>
                <c:pt idx="47">
                  <c:v>460.7</c:v>
                </c:pt>
                <c:pt idx="48">
                  <c:v>497.69</c:v>
                </c:pt>
                <c:pt idx="49">
                  <c:v>525.03</c:v>
                </c:pt>
                <c:pt idx="50">
                  <c:v>553.79999999999995</c:v>
                </c:pt>
                <c:pt idx="51">
                  <c:v>586.97</c:v>
                </c:pt>
                <c:pt idx="52">
                  <c:v>622.59</c:v>
                </c:pt>
                <c:pt idx="53">
                  <c:v>649.57000000000005</c:v>
                </c:pt>
                <c:pt idx="54">
                  <c:v>693.73</c:v>
                </c:pt>
                <c:pt idx="55">
                  <c:v>735.71</c:v>
                </c:pt>
                <c:pt idx="56">
                  <c:v>785.04</c:v>
                </c:pt>
                <c:pt idx="57">
                  <c:v>836.88</c:v>
                </c:pt>
                <c:pt idx="58">
                  <c:v>877.84</c:v>
                </c:pt>
                <c:pt idx="59">
                  <c:v>935.22</c:v>
                </c:pt>
                <c:pt idx="60">
                  <c:v>987.95</c:v>
                </c:pt>
                <c:pt idx="61">
                  <c:v>1052.3800000000001</c:v>
                </c:pt>
                <c:pt idx="62">
                  <c:v>1102.56</c:v>
                </c:pt>
                <c:pt idx="63">
                  <c:v>1180.22</c:v>
                </c:pt>
                <c:pt idx="64">
                  <c:v>1242.82</c:v>
                </c:pt>
                <c:pt idx="65">
                  <c:v>1329.16</c:v>
                </c:pt>
                <c:pt idx="66">
                  <c:v>1365.21</c:v>
                </c:pt>
                <c:pt idx="67">
                  <c:v>1489.76</c:v>
                </c:pt>
                <c:pt idx="68">
                  <c:v>1550.81</c:v>
                </c:pt>
                <c:pt idx="78">
                  <c:v>743.8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DDF-4F0C-A642-8238D955ED73}"/>
            </c:ext>
          </c:extLst>
        </c:ser>
        <c:ser>
          <c:idx val="17"/>
          <c:order val="8"/>
          <c:tx>
            <c:v>target</c:v>
          </c:tx>
          <c:spPr>
            <a:ln w="12700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Sheet!$D$2:$D$201</c:f>
              <c:numCache>
                <c:formatCode>General</c:formatCode>
                <c:ptCount val="86"/>
                <c:pt idx="0">
                  <c:v>30.87</c:v>
                </c:pt>
                <c:pt idx="1">
                  <c:v>32.700000000000003</c:v>
                </c:pt>
                <c:pt idx="2">
                  <c:v>34.65</c:v>
                </c:pt>
                <c:pt idx="3">
                  <c:v>36.71</c:v>
                </c:pt>
                <c:pt idx="4">
                  <c:v>38.89</c:v>
                </c:pt>
                <c:pt idx="5">
                  <c:v>41.2</c:v>
                </c:pt>
                <c:pt idx="6">
                  <c:v>43.65</c:v>
                </c:pt>
                <c:pt idx="7">
                  <c:v>46.25</c:v>
                </c:pt>
                <c:pt idx="8">
                  <c:v>49</c:v>
                </c:pt>
                <c:pt idx="9">
                  <c:v>51.91</c:v>
                </c:pt>
                <c:pt idx="10">
                  <c:v>55</c:v>
                </c:pt>
                <c:pt idx="11">
                  <c:v>58.27</c:v>
                </c:pt>
                <c:pt idx="12">
                  <c:v>61.74</c:v>
                </c:pt>
                <c:pt idx="13">
                  <c:v>65.41</c:v>
                </c:pt>
                <c:pt idx="14">
                  <c:v>69.3</c:v>
                </c:pt>
                <c:pt idx="15">
                  <c:v>73.42</c:v>
                </c:pt>
                <c:pt idx="16">
                  <c:v>77.78</c:v>
                </c:pt>
                <c:pt idx="17">
                  <c:v>82.41</c:v>
                </c:pt>
                <c:pt idx="18">
                  <c:v>87.31</c:v>
                </c:pt>
                <c:pt idx="19">
                  <c:v>92.5</c:v>
                </c:pt>
                <c:pt idx="20">
                  <c:v>98</c:v>
                </c:pt>
                <c:pt idx="21">
                  <c:v>103.83</c:v>
                </c:pt>
                <c:pt idx="22">
                  <c:v>110</c:v>
                </c:pt>
                <c:pt idx="23">
                  <c:v>116.54</c:v>
                </c:pt>
                <c:pt idx="24">
                  <c:v>123.47</c:v>
                </c:pt>
                <c:pt idx="25">
                  <c:v>130.81</c:v>
                </c:pt>
                <c:pt idx="26">
                  <c:v>138.59</c:v>
                </c:pt>
                <c:pt idx="27">
                  <c:v>146.83000000000001</c:v>
                </c:pt>
                <c:pt idx="28">
                  <c:v>155.56</c:v>
                </c:pt>
                <c:pt idx="29">
                  <c:v>164.81</c:v>
                </c:pt>
                <c:pt idx="30">
                  <c:v>174.61</c:v>
                </c:pt>
                <c:pt idx="31">
                  <c:v>185</c:v>
                </c:pt>
                <c:pt idx="32">
                  <c:v>196</c:v>
                </c:pt>
                <c:pt idx="33">
                  <c:v>207.65</c:v>
                </c:pt>
                <c:pt idx="34">
                  <c:v>220</c:v>
                </c:pt>
                <c:pt idx="35">
                  <c:v>233.08</c:v>
                </c:pt>
                <c:pt idx="36">
                  <c:v>246.94</c:v>
                </c:pt>
                <c:pt idx="37">
                  <c:v>261.63</c:v>
                </c:pt>
                <c:pt idx="38">
                  <c:v>277.18</c:v>
                </c:pt>
                <c:pt idx="39">
                  <c:v>293.66000000000003</c:v>
                </c:pt>
                <c:pt idx="40">
                  <c:v>311.13</c:v>
                </c:pt>
                <c:pt idx="41">
                  <c:v>329.63</c:v>
                </c:pt>
                <c:pt idx="42">
                  <c:v>349.23</c:v>
                </c:pt>
                <c:pt idx="43">
                  <c:v>369.99</c:v>
                </c:pt>
                <c:pt idx="44">
                  <c:v>392</c:v>
                </c:pt>
                <c:pt idx="45">
                  <c:v>415.3</c:v>
                </c:pt>
                <c:pt idx="46">
                  <c:v>440</c:v>
                </c:pt>
                <c:pt idx="47">
                  <c:v>466.16</c:v>
                </c:pt>
                <c:pt idx="48">
                  <c:v>493.88</c:v>
                </c:pt>
                <c:pt idx="49">
                  <c:v>523.25</c:v>
                </c:pt>
                <c:pt idx="50">
                  <c:v>554.37</c:v>
                </c:pt>
                <c:pt idx="51">
                  <c:v>587.33000000000004</c:v>
                </c:pt>
                <c:pt idx="52">
                  <c:v>622.25</c:v>
                </c:pt>
                <c:pt idx="53">
                  <c:v>659.26</c:v>
                </c:pt>
                <c:pt idx="54">
                  <c:v>698.46</c:v>
                </c:pt>
                <c:pt idx="55">
                  <c:v>739.99</c:v>
                </c:pt>
                <c:pt idx="56">
                  <c:v>783.99</c:v>
                </c:pt>
                <c:pt idx="57">
                  <c:v>830.61</c:v>
                </c:pt>
                <c:pt idx="58">
                  <c:v>880</c:v>
                </c:pt>
                <c:pt idx="59">
                  <c:v>932.33</c:v>
                </c:pt>
                <c:pt idx="60">
                  <c:v>987.77</c:v>
                </c:pt>
                <c:pt idx="61">
                  <c:v>1046.5</c:v>
                </c:pt>
                <c:pt idx="62">
                  <c:v>1108.73</c:v>
                </c:pt>
                <c:pt idx="63">
                  <c:v>1174.6600000000001</c:v>
                </c:pt>
                <c:pt idx="64">
                  <c:v>1244.51</c:v>
                </c:pt>
                <c:pt idx="65">
                  <c:v>1318.51</c:v>
                </c:pt>
                <c:pt idx="66">
                  <c:v>1396.91</c:v>
                </c:pt>
                <c:pt idx="67">
                  <c:v>1479.98</c:v>
                </c:pt>
                <c:pt idx="68">
                  <c:v>1567.98</c:v>
                </c:pt>
                <c:pt idx="69">
                  <c:v>1661.22</c:v>
                </c:pt>
                <c:pt idx="70">
                  <c:v>1760</c:v>
                </c:pt>
                <c:pt idx="71">
                  <c:v>1864.66</c:v>
                </c:pt>
                <c:pt idx="72">
                  <c:v>1975.53</c:v>
                </c:pt>
                <c:pt idx="73">
                  <c:v>2093</c:v>
                </c:pt>
                <c:pt idx="74">
                  <c:v>2217.46</c:v>
                </c:pt>
                <c:pt idx="75">
                  <c:v>2349.3200000000002</c:v>
                </c:pt>
                <c:pt idx="76">
                  <c:v>2489.02</c:v>
                </c:pt>
                <c:pt idx="77">
                  <c:v>2637.02</c:v>
                </c:pt>
                <c:pt idx="78">
                  <c:v>2793.83</c:v>
                </c:pt>
                <c:pt idx="79">
                  <c:v>2959.96</c:v>
                </c:pt>
                <c:pt idx="80">
                  <c:v>3135.96</c:v>
                </c:pt>
                <c:pt idx="81">
                  <c:v>3322.44</c:v>
                </c:pt>
                <c:pt idx="82">
                  <c:v>3520</c:v>
                </c:pt>
                <c:pt idx="83">
                  <c:v>3729.31</c:v>
                </c:pt>
                <c:pt idx="84">
                  <c:v>3951.07</c:v>
                </c:pt>
                <c:pt idx="85">
                  <c:v>4186.01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DF-4F0C-A642-8238D955E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accent1">
                  <a:alpha val="25000"/>
                </a:schemeClr>
              </a:solidFill>
              <a:prstDash val="dash"/>
              <a:round/>
            </a:ln>
            <a:effectLst/>
          </c:spPr>
        </c:dropLines>
        <c:marker val="1"/>
        <c:smooth val="0"/>
        <c:axId val="316253160"/>
        <c:axId val="316247672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Sheet!$H$1</c15:sqref>
                        </c15:formulaRef>
                      </c:ext>
                    </c:extLst>
                    <c:strCache>
                      <c:ptCount val="1"/>
                      <c:pt idx="0">
                        <c:v>spare2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Sheet!$B$2:$B$201</c15:sqref>
                        </c15:formulaRef>
                      </c:ext>
                    </c:extLst>
                    <c:strCache>
                      <c:ptCount val="86"/>
                      <c:pt idx="0">
                        <c:v>B0</c:v>
                      </c:pt>
                      <c:pt idx="1">
                        <c:v>C1</c:v>
                      </c:pt>
                      <c:pt idx="2">
                        <c:v>Db1</c:v>
                      </c:pt>
                      <c:pt idx="3">
                        <c:v>D1</c:v>
                      </c:pt>
                      <c:pt idx="4">
                        <c:v>Eb1</c:v>
                      </c:pt>
                      <c:pt idx="5">
                        <c:v>E1</c:v>
                      </c:pt>
                      <c:pt idx="6">
                        <c:v>F1</c:v>
                      </c:pt>
                      <c:pt idx="7">
                        <c:v>Gb1</c:v>
                      </c:pt>
                      <c:pt idx="8">
                        <c:v>G1</c:v>
                      </c:pt>
                      <c:pt idx="9">
                        <c:v>Ab1</c:v>
                      </c:pt>
                      <c:pt idx="10">
                        <c:v>A1</c:v>
                      </c:pt>
                      <c:pt idx="11">
                        <c:v>Bb1</c:v>
                      </c:pt>
                      <c:pt idx="12">
                        <c:v>B1</c:v>
                      </c:pt>
                      <c:pt idx="13">
                        <c:v>C2</c:v>
                      </c:pt>
                      <c:pt idx="14">
                        <c:v>Db2</c:v>
                      </c:pt>
                      <c:pt idx="15">
                        <c:v>D2</c:v>
                      </c:pt>
                      <c:pt idx="16">
                        <c:v>Eb2</c:v>
                      </c:pt>
                      <c:pt idx="17">
                        <c:v>E2</c:v>
                      </c:pt>
                      <c:pt idx="18">
                        <c:v>F2</c:v>
                      </c:pt>
                      <c:pt idx="19">
                        <c:v>Gb2</c:v>
                      </c:pt>
                      <c:pt idx="20">
                        <c:v>G2</c:v>
                      </c:pt>
                      <c:pt idx="21">
                        <c:v>Ab2</c:v>
                      </c:pt>
                      <c:pt idx="22">
                        <c:v>A2</c:v>
                      </c:pt>
                      <c:pt idx="23">
                        <c:v>Bb2</c:v>
                      </c:pt>
                      <c:pt idx="24">
                        <c:v>B2</c:v>
                      </c:pt>
                      <c:pt idx="25">
                        <c:v>C3</c:v>
                      </c:pt>
                      <c:pt idx="26">
                        <c:v>Db3</c:v>
                      </c:pt>
                      <c:pt idx="27">
                        <c:v>D3</c:v>
                      </c:pt>
                      <c:pt idx="28">
                        <c:v>Eb3</c:v>
                      </c:pt>
                      <c:pt idx="29">
                        <c:v>E3</c:v>
                      </c:pt>
                      <c:pt idx="30">
                        <c:v>F3</c:v>
                      </c:pt>
                      <c:pt idx="31">
                        <c:v>Gb3</c:v>
                      </c:pt>
                      <c:pt idx="32">
                        <c:v>G3</c:v>
                      </c:pt>
                      <c:pt idx="33">
                        <c:v>Ab3</c:v>
                      </c:pt>
                      <c:pt idx="34">
                        <c:v>A3</c:v>
                      </c:pt>
                      <c:pt idx="35">
                        <c:v>Bb3</c:v>
                      </c:pt>
                      <c:pt idx="36">
                        <c:v>B3</c:v>
                      </c:pt>
                      <c:pt idx="37">
                        <c:v>C4</c:v>
                      </c:pt>
                      <c:pt idx="38">
                        <c:v>Db4</c:v>
                      </c:pt>
                      <c:pt idx="39">
                        <c:v>D4</c:v>
                      </c:pt>
                      <c:pt idx="40">
                        <c:v>Eb4</c:v>
                      </c:pt>
                      <c:pt idx="41">
                        <c:v>E4</c:v>
                      </c:pt>
                      <c:pt idx="42">
                        <c:v>F4</c:v>
                      </c:pt>
                      <c:pt idx="43">
                        <c:v>Gb4</c:v>
                      </c:pt>
                      <c:pt idx="44">
                        <c:v>G4</c:v>
                      </c:pt>
                      <c:pt idx="45">
                        <c:v>Ab4</c:v>
                      </c:pt>
                      <c:pt idx="46">
                        <c:v>A4</c:v>
                      </c:pt>
                      <c:pt idx="47">
                        <c:v>Bb4</c:v>
                      </c:pt>
                      <c:pt idx="48">
                        <c:v>B4</c:v>
                      </c:pt>
                      <c:pt idx="49">
                        <c:v>C5</c:v>
                      </c:pt>
                      <c:pt idx="50">
                        <c:v>Db5</c:v>
                      </c:pt>
                      <c:pt idx="51">
                        <c:v>D5</c:v>
                      </c:pt>
                      <c:pt idx="52">
                        <c:v>Eb5</c:v>
                      </c:pt>
                      <c:pt idx="53">
                        <c:v>E5</c:v>
                      </c:pt>
                      <c:pt idx="54">
                        <c:v>F5</c:v>
                      </c:pt>
                      <c:pt idx="55">
                        <c:v>Gb5</c:v>
                      </c:pt>
                      <c:pt idx="56">
                        <c:v>G5</c:v>
                      </c:pt>
                      <c:pt idx="57">
                        <c:v>Ab5</c:v>
                      </c:pt>
                      <c:pt idx="58">
                        <c:v>A5</c:v>
                      </c:pt>
                      <c:pt idx="59">
                        <c:v>Bb5</c:v>
                      </c:pt>
                      <c:pt idx="60">
                        <c:v>B5</c:v>
                      </c:pt>
                      <c:pt idx="61">
                        <c:v>C6</c:v>
                      </c:pt>
                      <c:pt idx="62">
                        <c:v>Db6</c:v>
                      </c:pt>
                      <c:pt idx="63">
                        <c:v>D6</c:v>
                      </c:pt>
                      <c:pt idx="64">
                        <c:v>Eb6</c:v>
                      </c:pt>
                      <c:pt idx="65">
                        <c:v>E6</c:v>
                      </c:pt>
                      <c:pt idx="66">
                        <c:v>F6</c:v>
                      </c:pt>
                      <c:pt idx="67">
                        <c:v>Gb6</c:v>
                      </c:pt>
                      <c:pt idx="68">
                        <c:v>G6</c:v>
                      </c:pt>
                      <c:pt idx="69">
                        <c:v>Ab6</c:v>
                      </c:pt>
                      <c:pt idx="70">
                        <c:v>A6</c:v>
                      </c:pt>
                      <c:pt idx="71">
                        <c:v>Bb6</c:v>
                      </c:pt>
                      <c:pt idx="72">
                        <c:v>B6</c:v>
                      </c:pt>
                      <c:pt idx="73">
                        <c:v>C7</c:v>
                      </c:pt>
                      <c:pt idx="74">
                        <c:v>Db7</c:v>
                      </c:pt>
                      <c:pt idx="75">
                        <c:v>D7</c:v>
                      </c:pt>
                      <c:pt idx="76">
                        <c:v>Eb7</c:v>
                      </c:pt>
                      <c:pt idx="77">
                        <c:v>E7</c:v>
                      </c:pt>
                      <c:pt idx="78">
                        <c:v>F7</c:v>
                      </c:pt>
                      <c:pt idx="79">
                        <c:v>Gb7</c:v>
                      </c:pt>
                      <c:pt idx="80">
                        <c:v>G7</c:v>
                      </c:pt>
                      <c:pt idx="81">
                        <c:v>Ab7</c:v>
                      </c:pt>
                      <c:pt idx="82">
                        <c:v>A7</c:v>
                      </c:pt>
                      <c:pt idx="83">
                        <c:v>Bb7</c:v>
                      </c:pt>
                      <c:pt idx="84">
                        <c:v>B7</c:v>
                      </c:pt>
                      <c:pt idx="85">
                        <c:v>C8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Sheet!$H$2:$H$201</c15:sqref>
                        </c15:formulaRef>
                      </c:ext>
                    </c:extLst>
                    <c:numCache>
                      <c:formatCode>General</c:formatCode>
                      <c:ptCount val="86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4DDF-4F0C-A642-8238D955ED73}"/>
                  </c:ext>
                </c:extLst>
              </c15:ser>
            </c15:filteredLineSeries>
            <c15:filteredLine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Sheet!$J$1</c15:sqref>
                        </c15:formulaRef>
                      </c:ext>
                    </c:extLst>
                    <c:strCache>
                      <c:ptCount val="1"/>
                      <c:pt idx="0">
                        <c:v>spare4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Sheet!$B$2:$B$201</c15:sqref>
                        </c15:formulaRef>
                      </c:ext>
                    </c:extLst>
                    <c:strCache>
                      <c:ptCount val="86"/>
                      <c:pt idx="0">
                        <c:v>B0</c:v>
                      </c:pt>
                      <c:pt idx="1">
                        <c:v>C1</c:v>
                      </c:pt>
                      <c:pt idx="2">
                        <c:v>Db1</c:v>
                      </c:pt>
                      <c:pt idx="3">
                        <c:v>D1</c:v>
                      </c:pt>
                      <c:pt idx="4">
                        <c:v>Eb1</c:v>
                      </c:pt>
                      <c:pt idx="5">
                        <c:v>E1</c:v>
                      </c:pt>
                      <c:pt idx="6">
                        <c:v>F1</c:v>
                      </c:pt>
                      <c:pt idx="7">
                        <c:v>Gb1</c:v>
                      </c:pt>
                      <c:pt idx="8">
                        <c:v>G1</c:v>
                      </c:pt>
                      <c:pt idx="9">
                        <c:v>Ab1</c:v>
                      </c:pt>
                      <c:pt idx="10">
                        <c:v>A1</c:v>
                      </c:pt>
                      <c:pt idx="11">
                        <c:v>Bb1</c:v>
                      </c:pt>
                      <c:pt idx="12">
                        <c:v>B1</c:v>
                      </c:pt>
                      <c:pt idx="13">
                        <c:v>C2</c:v>
                      </c:pt>
                      <c:pt idx="14">
                        <c:v>Db2</c:v>
                      </c:pt>
                      <c:pt idx="15">
                        <c:v>D2</c:v>
                      </c:pt>
                      <c:pt idx="16">
                        <c:v>Eb2</c:v>
                      </c:pt>
                      <c:pt idx="17">
                        <c:v>E2</c:v>
                      </c:pt>
                      <c:pt idx="18">
                        <c:v>F2</c:v>
                      </c:pt>
                      <c:pt idx="19">
                        <c:v>Gb2</c:v>
                      </c:pt>
                      <c:pt idx="20">
                        <c:v>G2</c:v>
                      </c:pt>
                      <c:pt idx="21">
                        <c:v>Ab2</c:v>
                      </c:pt>
                      <c:pt idx="22">
                        <c:v>A2</c:v>
                      </c:pt>
                      <c:pt idx="23">
                        <c:v>Bb2</c:v>
                      </c:pt>
                      <c:pt idx="24">
                        <c:v>B2</c:v>
                      </c:pt>
                      <c:pt idx="25">
                        <c:v>C3</c:v>
                      </c:pt>
                      <c:pt idx="26">
                        <c:v>Db3</c:v>
                      </c:pt>
                      <c:pt idx="27">
                        <c:v>D3</c:v>
                      </c:pt>
                      <c:pt idx="28">
                        <c:v>Eb3</c:v>
                      </c:pt>
                      <c:pt idx="29">
                        <c:v>E3</c:v>
                      </c:pt>
                      <c:pt idx="30">
                        <c:v>F3</c:v>
                      </c:pt>
                      <c:pt idx="31">
                        <c:v>Gb3</c:v>
                      </c:pt>
                      <c:pt idx="32">
                        <c:v>G3</c:v>
                      </c:pt>
                      <c:pt idx="33">
                        <c:v>Ab3</c:v>
                      </c:pt>
                      <c:pt idx="34">
                        <c:v>A3</c:v>
                      </c:pt>
                      <c:pt idx="35">
                        <c:v>Bb3</c:v>
                      </c:pt>
                      <c:pt idx="36">
                        <c:v>B3</c:v>
                      </c:pt>
                      <c:pt idx="37">
                        <c:v>C4</c:v>
                      </c:pt>
                      <c:pt idx="38">
                        <c:v>Db4</c:v>
                      </c:pt>
                      <c:pt idx="39">
                        <c:v>D4</c:v>
                      </c:pt>
                      <c:pt idx="40">
                        <c:v>Eb4</c:v>
                      </c:pt>
                      <c:pt idx="41">
                        <c:v>E4</c:v>
                      </c:pt>
                      <c:pt idx="42">
                        <c:v>F4</c:v>
                      </c:pt>
                      <c:pt idx="43">
                        <c:v>Gb4</c:v>
                      </c:pt>
                      <c:pt idx="44">
                        <c:v>G4</c:v>
                      </c:pt>
                      <c:pt idx="45">
                        <c:v>Ab4</c:v>
                      </c:pt>
                      <c:pt idx="46">
                        <c:v>A4</c:v>
                      </c:pt>
                      <c:pt idx="47">
                        <c:v>Bb4</c:v>
                      </c:pt>
                      <c:pt idx="48">
                        <c:v>B4</c:v>
                      </c:pt>
                      <c:pt idx="49">
                        <c:v>C5</c:v>
                      </c:pt>
                      <c:pt idx="50">
                        <c:v>Db5</c:v>
                      </c:pt>
                      <c:pt idx="51">
                        <c:v>D5</c:v>
                      </c:pt>
                      <c:pt idx="52">
                        <c:v>Eb5</c:v>
                      </c:pt>
                      <c:pt idx="53">
                        <c:v>E5</c:v>
                      </c:pt>
                      <c:pt idx="54">
                        <c:v>F5</c:v>
                      </c:pt>
                      <c:pt idx="55">
                        <c:v>Gb5</c:v>
                      </c:pt>
                      <c:pt idx="56">
                        <c:v>G5</c:v>
                      </c:pt>
                      <c:pt idx="57">
                        <c:v>Ab5</c:v>
                      </c:pt>
                      <c:pt idx="58">
                        <c:v>A5</c:v>
                      </c:pt>
                      <c:pt idx="59">
                        <c:v>Bb5</c:v>
                      </c:pt>
                      <c:pt idx="60">
                        <c:v>B5</c:v>
                      </c:pt>
                      <c:pt idx="61">
                        <c:v>C6</c:v>
                      </c:pt>
                      <c:pt idx="62">
                        <c:v>Db6</c:v>
                      </c:pt>
                      <c:pt idx="63">
                        <c:v>D6</c:v>
                      </c:pt>
                      <c:pt idx="64">
                        <c:v>Eb6</c:v>
                      </c:pt>
                      <c:pt idx="65">
                        <c:v>E6</c:v>
                      </c:pt>
                      <c:pt idx="66">
                        <c:v>F6</c:v>
                      </c:pt>
                      <c:pt idx="67">
                        <c:v>Gb6</c:v>
                      </c:pt>
                      <c:pt idx="68">
                        <c:v>G6</c:v>
                      </c:pt>
                      <c:pt idx="69">
                        <c:v>Ab6</c:v>
                      </c:pt>
                      <c:pt idx="70">
                        <c:v>A6</c:v>
                      </c:pt>
                      <c:pt idx="71">
                        <c:v>Bb6</c:v>
                      </c:pt>
                      <c:pt idx="72">
                        <c:v>B6</c:v>
                      </c:pt>
                      <c:pt idx="73">
                        <c:v>C7</c:v>
                      </c:pt>
                      <c:pt idx="74">
                        <c:v>Db7</c:v>
                      </c:pt>
                      <c:pt idx="75">
                        <c:v>D7</c:v>
                      </c:pt>
                      <c:pt idx="76">
                        <c:v>Eb7</c:v>
                      </c:pt>
                      <c:pt idx="77">
                        <c:v>E7</c:v>
                      </c:pt>
                      <c:pt idx="78">
                        <c:v>F7</c:v>
                      </c:pt>
                      <c:pt idx="79">
                        <c:v>Gb7</c:v>
                      </c:pt>
                      <c:pt idx="80">
                        <c:v>G7</c:v>
                      </c:pt>
                      <c:pt idx="81">
                        <c:v>Ab7</c:v>
                      </c:pt>
                      <c:pt idx="82">
                        <c:v>A7</c:v>
                      </c:pt>
                      <c:pt idx="83">
                        <c:v>Bb7</c:v>
                      </c:pt>
                      <c:pt idx="84">
                        <c:v>B7</c:v>
                      </c:pt>
                      <c:pt idx="85">
                        <c:v>C8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Sheet!$J$2:$J$201</c15:sqref>
                        </c15:formulaRef>
                      </c:ext>
                    </c:extLst>
                    <c:numCache>
                      <c:formatCode>General</c:formatCode>
                      <c:ptCount val="86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DDF-4F0C-A642-8238D955ED73}"/>
                  </c:ext>
                </c:extLst>
              </c15:ser>
            </c15:filteredLineSeries>
            <c15:filteredLineSeries>
              <c15:ser>
                <c:idx val="12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Sheet!$K$1</c15:sqref>
                        </c15:formulaRef>
                      </c:ext>
                    </c:extLst>
                    <c:strCache>
                      <c:ptCount val="1"/>
                      <c:pt idx="0">
                        <c:v>spare5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>
                    <a:glow rad="50800">
                      <a:schemeClr val="accent6">
                        <a:satMod val="175000"/>
                        <a:alpha val="25000"/>
                      </a:schemeClr>
                    </a:glow>
                  </a:effectLst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>
                      <a:glow rad="50800">
                        <a:schemeClr val="accent6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Sheet!$B$2:$B$201</c15:sqref>
                        </c15:formulaRef>
                      </c:ext>
                    </c:extLst>
                    <c:strCache>
                      <c:ptCount val="86"/>
                      <c:pt idx="0">
                        <c:v>B0</c:v>
                      </c:pt>
                      <c:pt idx="1">
                        <c:v>C1</c:v>
                      </c:pt>
                      <c:pt idx="2">
                        <c:v>Db1</c:v>
                      </c:pt>
                      <c:pt idx="3">
                        <c:v>D1</c:v>
                      </c:pt>
                      <c:pt idx="4">
                        <c:v>Eb1</c:v>
                      </c:pt>
                      <c:pt idx="5">
                        <c:v>E1</c:v>
                      </c:pt>
                      <c:pt idx="6">
                        <c:v>F1</c:v>
                      </c:pt>
                      <c:pt idx="7">
                        <c:v>Gb1</c:v>
                      </c:pt>
                      <c:pt idx="8">
                        <c:v>G1</c:v>
                      </c:pt>
                      <c:pt idx="9">
                        <c:v>Ab1</c:v>
                      </c:pt>
                      <c:pt idx="10">
                        <c:v>A1</c:v>
                      </c:pt>
                      <c:pt idx="11">
                        <c:v>Bb1</c:v>
                      </c:pt>
                      <c:pt idx="12">
                        <c:v>B1</c:v>
                      </c:pt>
                      <c:pt idx="13">
                        <c:v>C2</c:v>
                      </c:pt>
                      <c:pt idx="14">
                        <c:v>Db2</c:v>
                      </c:pt>
                      <c:pt idx="15">
                        <c:v>D2</c:v>
                      </c:pt>
                      <c:pt idx="16">
                        <c:v>Eb2</c:v>
                      </c:pt>
                      <c:pt idx="17">
                        <c:v>E2</c:v>
                      </c:pt>
                      <c:pt idx="18">
                        <c:v>F2</c:v>
                      </c:pt>
                      <c:pt idx="19">
                        <c:v>Gb2</c:v>
                      </c:pt>
                      <c:pt idx="20">
                        <c:v>G2</c:v>
                      </c:pt>
                      <c:pt idx="21">
                        <c:v>Ab2</c:v>
                      </c:pt>
                      <c:pt idx="22">
                        <c:v>A2</c:v>
                      </c:pt>
                      <c:pt idx="23">
                        <c:v>Bb2</c:v>
                      </c:pt>
                      <c:pt idx="24">
                        <c:v>B2</c:v>
                      </c:pt>
                      <c:pt idx="25">
                        <c:v>C3</c:v>
                      </c:pt>
                      <c:pt idx="26">
                        <c:v>Db3</c:v>
                      </c:pt>
                      <c:pt idx="27">
                        <c:v>D3</c:v>
                      </c:pt>
                      <c:pt idx="28">
                        <c:v>Eb3</c:v>
                      </c:pt>
                      <c:pt idx="29">
                        <c:v>E3</c:v>
                      </c:pt>
                      <c:pt idx="30">
                        <c:v>F3</c:v>
                      </c:pt>
                      <c:pt idx="31">
                        <c:v>Gb3</c:v>
                      </c:pt>
                      <c:pt idx="32">
                        <c:v>G3</c:v>
                      </c:pt>
                      <c:pt idx="33">
                        <c:v>Ab3</c:v>
                      </c:pt>
                      <c:pt idx="34">
                        <c:v>A3</c:v>
                      </c:pt>
                      <c:pt idx="35">
                        <c:v>Bb3</c:v>
                      </c:pt>
                      <c:pt idx="36">
                        <c:v>B3</c:v>
                      </c:pt>
                      <c:pt idx="37">
                        <c:v>C4</c:v>
                      </c:pt>
                      <c:pt idx="38">
                        <c:v>Db4</c:v>
                      </c:pt>
                      <c:pt idx="39">
                        <c:v>D4</c:v>
                      </c:pt>
                      <c:pt idx="40">
                        <c:v>Eb4</c:v>
                      </c:pt>
                      <c:pt idx="41">
                        <c:v>E4</c:v>
                      </c:pt>
                      <c:pt idx="42">
                        <c:v>F4</c:v>
                      </c:pt>
                      <c:pt idx="43">
                        <c:v>Gb4</c:v>
                      </c:pt>
                      <c:pt idx="44">
                        <c:v>G4</c:v>
                      </c:pt>
                      <c:pt idx="45">
                        <c:v>Ab4</c:v>
                      </c:pt>
                      <c:pt idx="46">
                        <c:v>A4</c:v>
                      </c:pt>
                      <c:pt idx="47">
                        <c:v>Bb4</c:v>
                      </c:pt>
                      <c:pt idx="48">
                        <c:v>B4</c:v>
                      </c:pt>
                      <c:pt idx="49">
                        <c:v>C5</c:v>
                      </c:pt>
                      <c:pt idx="50">
                        <c:v>Db5</c:v>
                      </c:pt>
                      <c:pt idx="51">
                        <c:v>D5</c:v>
                      </c:pt>
                      <c:pt idx="52">
                        <c:v>Eb5</c:v>
                      </c:pt>
                      <c:pt idx="53">
                        <c:v>E5</c:v>
                      </c:pt>
                      <c:pt idx="54">
                        <c:v>F5</c:v>
                      </c:pt>
                      <c:pt idx="55">
                        <c:v>Gb5</c:v>
                      </c:pt>
                      <c:pt idx="56">
                        <c:v>G5</c:v>
                      </c:pt>
                      <c:pt idx="57">
                        <c:v>Ab5</c:v>
                      </c:pt>
                      <c:pt idx="58">
                        <c:v>A5</c:v>
                      </c:pt>
                      <c:pt idx="59">
                        <c:v>Bb5</c:v>
                      </c:pt>
                      <c:pt idx="60">
                        <c:v>B5</c:v>
                      </c:pt>
                      <c:pt idx="61">
                        <c:v>C6</c:v>
                      </c:pt>
                      <c:pt idx="62">
                        <c:v>Db6</c:v>
                      </c:pt>
                      <c:pt idx="63">
                        <c:v>D6</c:v>
                      </c:pt>
                      <c:pt idx="64">
                        <c:v>Eb6</c:v>
                      </c:pt>
                      <c:pt idx="65">
                        <c:v>E6</c:v>
                      </c:pt>
                      <c:pt idx="66">
                        <c:v>F6</c:v>
                      </c:pt>
                      <c:pt idx="67">
                        <c:v>Gb6</c:v>
                      </c:pt>
                      <c:pt idx="68">
                        <c:v>G6</c:v>
                      </c:pt>
                      <c:pt idx="69">
                        <c:v>Ab6</c:v>
                      </c:pt>
                      <c:pt idx="70">
                        <c:v>A6</c:v>
                      </c:pt>
                      <c:pt idx="71">
                        <c:v>Bb6</c:v>
                      </c:pt>
                      <c:pt idx="72">
                        <c:v>B6</c:v>
                      </c:pt>
                      <c:pt idx="73">
                        <c:v>C7</c:v>
                      </c:pt>
                      <c:pt idx="74">
                        <c:v>Db7</c:v>
                      </c:pt>
                      <c:pt idx="75">
                        <c:v>D7</c:v>
                      </c:pt>
                      <c:pt idx="76">
                        <c:v>Eb7</c:v>
                      </c:pt>
                      <c:pt idx="77">
                        <c:v>E7</c:v>
                      </c:pt>
                      <c:pt idx="78">
                        <c:v>F7</c:v>
                      </c:pt>
                      <c:pt idx="79">
                        <c:v>Gb7</c:v>
                      </c:pt>
                      <c:pt idx="80">
                        <c:v>G7</c:v>
                      </c:pt>
                      <c:pt idx="81">
                        <c:v>Ab7</c:v>
                      </c:pt>
                      <c:pt idx="82">
                        <c:v>A7</c:v>
                      </c:pt>
                      <c:pt idx="83">
                        <c:v>Bb7</c:v>
                      </c:pt>
                      <c:pt idx="84">
                        <c:v>B7</c:v>
                      </c:pt>
                      <c:pt idx="85">
                        <c:v>C8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Sheet!$K$2:$K$201</c15:sqref>
                        </c15:formulaRef>
                      </c:ext>
                    </c:extLst>
                    <c:numCache>
                      <c:formatCode>General</c:formatCode>
                      <c:ptCount val="86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DDF-4F0C-A642-8238D955ED73}"/>
                  </c:ext>
                </c:extLst>
              </c15:ser>
            </c15:filteredLineSeries>
            <c15:filteredLineSeries>
              <c15:ser>
                <c:idx val="1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Sheet!$L$1</c15:sqref>
                        </c15:formulaRef>
                      </c:ext>
                    </c:extLst>
                    <c:strCache>
                      <c:ptCount val="1"/>
                      <c:pt idx="0">
                        <c:v>spare6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Sheet!$B$2:$B$201</c15:sqref>
                        </c15:formulaRef>
                      </c:ext>
                    </c:extLst>
                    <c:strCache>
                      <c:ptCount val="86"/>
                      <c:pt idx="0">
                        <c:v>B0</c:v>
                      </c:pt>
                      <c:pt idx="1">
                        <c:v>C1</c:v>
                      </c:pt>
                      <c:pt idx="2">
                        <c:v>Db1</c:v>
                      </c:pt>
                      <c:pt idx="3">
                        <c:v>D1</c:v>
                      </c:pt>
                      <c:pt idx="4">
                        <c:v>Eb1</c:v>
                      </c:pt>
                      <c:pt idx="5">
                        <c:v>E1</c:v>
                      </c:pt>
                      <c:pt idx="6">
                        <c:v>F1</c:v>
                      </c:pt>
                      <c:pt idx="7">
                        <c:v>Gb1</c:v>
                      </c:pt>
                      <c:pt idx="8">
                        <c:v>G1</c:v>
                      </c:pt>
                      <c:pt idx="9">
                        <c:v>Ab1</c:v>
                      </c:pt>
                      <c:pt idx="10">
                        <c:v>A1</c:v>
                      </c:pt>
                      <c:pt idx="11">
                        <c:v>Bb1</c:v>
                      </c:pt>
                      <c:pt idx="12">
                        <c:v>B1</c:v>
                      </c:pt>
                      <c:pt idx="13">
                        <c:v>C2</c:v>
                      </c:pt>
                      <c:pt idx="14">
                        <c:v>Db2</c:v>
                      </c:pt>
                      <c:pt idx="15">
                        <c:v>D2</c:v>
                      </c:pt>
                      <c:pt idx="16">
                        <c:v>Eb2</c:v>
                      </c:pt>
                      <c:pt idx="17">
                        <c:v>E2</c:v>
                      </c:pt>
                      <c:pt idx="18">
                        <c:v>F2</c:v>
                      </c:pt>
                      <c:pt idx="19">
                        <c:v>Gb2</c:v>
                      </c:pt>
                      <c:pt idx="20">
                        <c:v>G2</c:v>
                      </c:pt>
                      <c:pt idx="21">
                        <c:v>Ab2</c:v>
                      </c:pt>
                      <c:pt idx="22">
                        <c:v>A2</c:v>
                      </c:pt>
                      <c:pt idx="23">
                        <c:v>Bb2</c:v>
                      </c:pt>
                      <c:pt idx="24">
                        <c:v>B2</c:v>
                      </c:pt>
                      <c:pt idx="25">
                        <c:v>C3</c:v>
                      </c:pt>
                      <c:pt idx="26">
                        <c:v>Db3</c:v>
                      </c:pt>
                      <c:pt idx="27">
                        <c:v>D3</c:v>
                      </c:pt>
                      <c:pt idx="28">
                        <c:v>Eb3</c:v>
                      </c:pt>
                      <c:pt idx="29">
                        <c:v>E3</c:v>
                      </c:pt>
                      <c:pt idx="30">
                        <c:v>F3</c:v>
                      </c:pt>
                      <c:pt idx="31">
                        <c:v>Gb3</c:v>
                      </c:pt>
                      <c:pt idx="32">
                        <c:v>G3</c:v>
                      </c:pt>
                      <c:pt idx="33">
                        <c:v>Ab3</c:v>
                      </c:pt>
                      <c:pt idx="34">
                        <c:v>A3</c:v>
                      </c:pt>
                      <c:pt idx="35">
                        <c:v>Bb3</c:v>
                      </c:pt>
                      <c:pt idx="36">
                        <c:v>B3</c:v>
                      </c:pt>
                      <c:pt idx="37">
                        <c:v>C4</c:v>
                      </c:pt>
                      <c:pt idx="38">
                        <c:v>Db4</c:v>
                      </c:pt>
                      <c:pt idx="39">
                        <c:v>D4</c:v>
                      </c:pt>
                      <c:pt idx="40">
                        <c:v>Eb4</c:v>
                      </c:pt>
                      <c:pt idx="41">
                        <c:v>E4</c:v>
                      </c:pt>
                      <c:pt idx="42">
                        <c:v>F4</c:v>
                      </c:pt>
                      <c:pt idx="43">
                        <c:v>Gb4</c:v>
                      </c:pt>
                      <c:pt idx="44">
                        <c:v>G4</c:v>
                      </c:pt>
                      <c:pt idx="45">
                        <c:v>Ab4</c:v>
                      </c:pt>
                      <c:pt idx="46">
                        <c:v>A4</c:v>
                      </c:pt>
                      <c:pt idx="47">
                        <c:v>Bb4</c:v>
                      </c:pt>
                      <c:pt idx="48">
                        <c:v>B4</c:v>
                      </c:pt>
                      <c:pt idx="49">
                        <c:v>C5</c:v>
                      </c:pt>
                      <c:pt idx="50">
                        <c:v>Db5</c:v>
                      </c:pt>
                      <c:pt idx="51">
                        <c:v>D5</c:v>
                      </c:pt>
                      <c:pt idx="52">
                        <c:v>Eb5</c:v>
                      </c:pt>
                      <c:pt idx="53">
                        <c:v>E5</c:v>
                      </c:pt>
                      <c:pt idx="54">
                        <c:v>F5</c:v>
                      </c:pt>
                      <c:pt idx="55">
                        <c:v>Gb5</c:v>
                      </c:pt>
                      <c:pt idx="56">
                        <c:v>G5</c:v>
                      </c:pt>
                      <c:pt idx="57">
                        <c:v>Ab5</c:v>
                      </c:pt>
                      <c:pt idx="58">
                        <c:v>A5</c:v>
                      </c:pt>
                      <c:pt idx="59">
                        <c:v>Bb5</c:v>
                      </c:pt>
                      <c:pt idx="60">
                        <c:v>B5</c:v>
                      </c:pt>
                      <c:pt idx="61">
                        <c:v>C6</c:v>
                      </c:pt>
                      <c:pt idx="62">
                        <c:v>Db6</c:v>
                      </c:pt>
                      <c:pt idx="63">
                        <c:v>D6</c:v>
                      </c:pt>
                      <c:pt idx="64">
                        <c:v>Eb6</c:v>
                      </c:pt>
                      <c:pt idx="65">
                        <c:v>E6</c:v>
                      </c:pt>
                      <c:pt idx="66">
                        <c:v>F6</c:v>
                      </c:pt>
                      <c:pt idx="67">
                        <c:v>Gb6</c:v>
                      </c:pt>
                      <c:pt idx="68">
                        <c:v>G6</c:v>
                      </c:pt>
                      <c:pt idx="69">
                        <c:v>Ab6</c:v>
                      </c:pt>
                      <c:pt idx="70">
                        <c:v>A6</c:v>
                      </c:pt>
                      <c:pt idx="71">
                        <c:v>Bb6</c:v>
                      </c:pt>
                      <c:pt idx="72">
                        <c:v>B6</c:v>
                      </c:pt>
                      <c:pt idx="73">
                        <c:v>C7</c:v>
                      </c:pt>
                      <c:pt idx="74">
                        <c:v>Db7</c:v>
                      </c:pt>
                      <c:pt idx="75">
                        <c:v>D7</c:v>
                      </c:pt>
                      <c:pt idx="76">
                        <c:v>Eb7</c:v>
                      </c:pt>
                      <c:pt idx="77">
                        <c:v>E7</c:v>
                      </c:pt>
                      <c:pt idx="78">
                        <c:v>F7</c:v>
                      </c:pt>
                      <c:pt idx="79">
                        <c:v>Gb7</c:v>
                      </c:pt>
                      <c:pt idx="80">
                        <c:v>G7</c:v>
                      </c:pt>
                      <c:pt idx="81">
                        <c:v>Ab7</c:v>
                      </c:pt>
                      <c:pt idx="82">
                        <c:v>A7</c:v>
                      </c:pt>
                      <c:pt idx="83">
                        <c:v>Bb7</c:v>
                      </c:pt>
                      <c:pt idx="84">
                        <c:v>B7</c:v>
                      </c:pt>
                      <c:pt idx="85">
                        <c:v>C8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Sheet!$L$2:$L$201</c15:sqref>
                        </c15:formulaRef>
                      </c:ext>
                    </c:extLst>
                    <c:numCache>
                      <c:formatCode>#,##0.0</c:formatCode>
                      <c:ptCount val="86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DDF-4F0C-A642-8238D955ED73}"/>
                  </c:ext>
                </c:extLst>
              </c15:ser>
            </c15:filteredLineSeries>
            <c15:filteredLine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Sheet!$M$1</c15:sqref>
                        </c15:formulaRef>
                      </c:ext>
                    </c:extLst>
                    <c:strCache>
                      <c:ptCount val="1"/>
                      <c:pt idx="0">
                        <c:v>spare7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Sheet!$B$2:$B$201</c15:sqref>
                        </c15:formulaRef>
                      </c:ext>
                    </c:extLst>
                    <c:strCache>
                      <c:ptCount val="86"/>
                      <c:pt idx="0">
                        <c:v>B0</c:v>
                      </c:pt>
                      <c:pt idx="1">
                        <c:v>C1</c:v>
                      </c:pt>
                      <c:pt idx="2">
                        <c:v>Db1</c:v>
                      </c:pt>
                      <c:pt idx="3">
                        <c:v>D1</c:v>
                      </c:pt>
                      <c:pt idx="4">
                        <c:v>Eb1</c:v>
                      </c:pt>
                      <c:pt idx="5">
                        <c:v>E1</c:v>
                      </c:pt>
                      <c:pt idx="6">
                        <c:v>F1</c:v>
                      </c:pt>
                      <c:pt idx="7">
                        <c:v>Gb1</c:v>
                      </c:pt>
                      <c:pt idx="8">
                        <c:v>G1</c:v>
                      </c:pt>
                      <c:pt idx="9">
                        <c:v>Ab1</c:v>
                      </c:pt>
                      <c:pt idx="10">
                        <c:v>A1</c:v>
                      </c:pt>
                      <c:pt idx="11">
                        <c:v>Bb1</c:v>
                      </c:pt>
                      <c:pt idx="12">
                        <c:v>B1</c:v>
                      </c:pt>
                      <c:pt idx="13">
                        <c:v>C2</c:v>
                      </c:pt>
                      <c:pt idx="14">
                        <c:v>Db2</c:v>
                      </c:pt>
                      <c:pt idx="15">
                        <c:v>D2</c:v>
                      </c:pt>
                      <c:pt idx="16">
                        <c:v>Eb2</c:v>
                      </c:pt>
                      <c:pt idx="17">
                        <c:v>E2</c:v>
                      </c:pt>
                      <c:pt idx="18">
                        <c:v>F2</c:v>
                      </c:pt>
                      <c:pt idx="19">
                        <c:v>Gb2</c:v>
                      </c:pt>
                      <c:pt idx="20">
                        <c:v>G2</c:v>
                      </c:pt>
                      <c:pt idx="21">
                        <c:v>Ab2</c:v>
                      </c:pt>
                      <c:pt idx="22">
                        <c:v>A2</c:v>
                      </c:pt>
                      <c:pt idx="23">
                        <c:v>Bb2</c:v>
                      </c:pt>
                      <c:pt idx="24">
                        <c:v>B2</c:v>
                      </c:pt>
                      <c:pt idx="25">
                        <c:v>C3</c:v>
                      </c:pt>
                      <c:pt idx="26">
                        <c:v>Db3</c:v>
                      </c:pt>
                      <c:pt idx="27">
                        <c:v>D3</c:v>
                      </c:pt>
                      <c:pt idx="28">
                        <c:v>Eb3</c:v>
                      </c:pt>
                      <c:pt idx="29">
                        <c:v>E3</c:v>
                      </c:pt>
                      <c:pt idx="30">
                        <c:v>F3</c:v>
                      </c:pt>
                      <c:pt idx="31">
                        <c:v>Gb3</c:v>
                      </c:pt>
                      <c:pt idx="32">
                        <c:v>G3</c:v>
                      </c:pt>
                      <c:pt idx="33">
                        <c:v>Ab3</c:v>
                      </c:pt>
                      <c:pt idx="34">
                        <c:v>A3</c:v>
                      </c:pt>
                      <c:pt idx="35">
                        <c:v>Bb3</c:v>
                      </c:pt>
                      <c:pt idx="36">
                        <c:v>B3</c:v>
                      </c:pt>
                      <c:pt idx="37">
                        <c:v>C4</c:v>
                      </c:pt>
                      <c:pt idx="38">
                        <c:v>Db4</c:v>
                      </c:pt>
                      <c:pt idx="39">
                        <c:v>D4</c:v>
                      </c:pt>
                      <c:pt idx="40">
                        <c:v>Eb4</c:v>
                      </c:pt>
                      <c:pt idx="41">
                        <c:v>E4</c:v>
                      </c:pt>
                      <c:pt idx="42">
                        <c:v>F4</c:v>
                      </c:pt>
                      <c:pt idx="43">
                        <c:v>Gb4</c:v>
                      </c:pt>
                      <c:pt idx="44">
                        <c:v>G4</c:v>
                      </c:pt>
                      <c:pt idx="45">
                        <c:v>Ab4</c:v>
                      </c:pt>
                      <c:pt idx="46">
                        <c:v>A4</c:v>
                      </c:pt>
                      <c:pt idx="47">
                        <c:v>Bb4</c:v>
                      </c:pt>
                      <c:pt idx="48">
                        <c:v>B4</c:v>
                      </c:pt>
                      <c:pt idx="49">
                        <c:v>C5</c:v>
                      </c:pt>
                      <c:pt idx="50">
                        <c:v>Db5</c:v>
                      </c:pt>
                      <c:pt idx="51">
                        <c:v>D5</c:v>
                      </c:pt>
                      <c:pt idx="52">
                        <c:v>Eb5</c:v>
                      </c:pt>
                      <c:pt idx="53">
                        <c:v>E5</c:v>
                      </c:pt>
                      <c:pt idx="54">
                        <c:v>F5</c:v>
                      </c:pt>
                      <c:pt idx="55">
                        <c:v>Gb5</c:v>
                      </c:pt>
                      <c:pt idx="56">
                        <c:v>G5</c:v>
                      </c:pt>
                      <c:pt idx="57">
                        <c:v>Ab5</c:v>
                      </c:pt>
                      <c:pt idx="58">
                        <c:v>A5</c:v>
                      </c:pt>
                      <c:pt idx="59">
                        <c:v>Bb5</c:v>
                      </c:pt>
                      <c:pt idx="60">
                        <c:v>B5</c:v>
                      </c:pt>
                      <c:pt idx="61">
                        <c:v>C6</c:v>
                      </c:pt>
                      <c:pt idx="62">
                        <c:v>Db6</c:v>
                      </c:pt>
                      <c:pt idx="63">
                        <c:v>D6</c:v>
                      </c:pt>
                      <c:pt idx="64">
                        <c:v>Eb6</c:v>
                      </c:pt>
                      <c:pt idx="65">
                        <c:v>E6</c:v>
                      </c:pt>
                      <c:pt idx="66">
                        <c:v>F6</c:v>
                      </c:pt>
                      <c:pt idx="67">
                        <c:v>Gb6</c:v>
                      </c:pt>
                      <c:pt idx="68">
                        <c:v>G6</c:v>
                      </c:pt>
                      <c:pt idx="69">
                        <c:v>Ab6</c:v>
                      </c:pt>
                      <c:pt idx="70">
                        <c:v>A6</c:v>
                      </c:pt>
                      <c:pt idx="71">
                        <c:v>Bb6</c:v>
                      </c:pt>
                      <c:pt idx="72">
                        <c:v>B6</c:v>
                      </c:pt>
                      <c:pt idx="73">
                        <c:v>C7</c:v>
                      </c:pt>
                      <c:pt idx="74">
                        <c:v>Db7</c:v>
                      </c:pt>
                      <c:pt idx="75">
                        <c:v>D7</c:v>
                      </c:pt>
                      <c:pt idx="76">
                        <c:v>Eb7</c:v>
                      </c:pt>
                      <c:pt idx="77">
                        <c:v>E7</c:v>
                      </c:pt>
                      <c:pt idx="78">
                        <c:v>F7</c:v>
                      </c:pt>
                      <c:pt idx="79">
                        <c:v>Gb7</c:v>
                      </c:pt>
                      <c:pt idx="80">
                        <c:v>G7</c:v>
                      </c:pt>
                      <c:pt idx="81">
                        <c:v>Ab7</c:v>
                      </c:pt>
                      <c:pt idx="82">
                        <c:v>A7</c:v>
                      </c:pt>
                      <c:pt idx="83">
                        <c:v>Bb7</c:v>
                      </c:pt>
                      <c:pt idx="84">
                        <c:v>B7</c:v>
                      </c:pt>
                      <c:pt idx="85">
                        <c:v>C8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Sheet!$M$2:$M$201</c15:sqref>
                        </c15:formulaRef>
                      </c:ext>
                    </c:extLst>
                    <c:numCache>
                      <c:formatCode>#,##0.0</c:formatCode>
                      <c:ptCount val="86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DDF-4F0C-A642-8238D955ED73}"/>
                  </c:ext>
                </c:extLst>
              </c15:ser>
            </c15:filteredLineSeries>
          </c:ext>
        </c:extLst>
      </c:lineChart>
      <c:catAx>
        <c:axId val="31625316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Note played </a:t>
                </a:r>
                <a:r>
                  <a:rPr lang="en-US" sz="1400">
                    <a:latin typeface="Calibri Light" panose="020F0302020204030204" pitchFamily="34" charset="0"/>
                  </a:rPr>
                  <a:t>→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47888957123033088"/>
              <c:y val="0.9092050527194109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@" sourceLinked="0"/>
        <c:majorTickMark val="out"/>
        <c:minorTickMark val="in"/>
        <c:tickLblPos val="low"/>
        <c:spPr>
          <a:noFill/>
          <a:ln w="25400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47672"/>
        <c:crosses val="autoZero"/>
        <c:auto val="1"/>
        <c:lblAlgn val="ctr"/>
        <c:lblOffset val="75"/>
        <c:tickLblSkip val="1"/>
        <c:noMultiLvlLbl val="0"/>
      </c:catAx>
      <c:valAx>
        <c:axId val="316247672"/>
        <c:scaling>
          <c:logBase val="2"/>
          <c:orientation val="minMax"/>
          <c:max val="4000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Frequency detected </a:t>
                </a:r>
                <a:r>
                  <a:rPr lang="en-US" sz="1000" b="0" i="0" u="none" strike="noStrike" baseline="0">
                    <a:effectLst/>
                  </a:rPr>
                  <a:t>→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\ &quot;Hz&quot;" sourceLinked="0"/>
        <c:majorTickMark val="in"/>
        <c:minorTickMark val="in"/>
        <c:tickLblPos val="nextTo"/>
        <c:spPr>
          <a:noFill/>
          <a:ln w="25400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53160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lumMod val="5000"/>
            <a:lumOff val="95000"/>
            <a:alpha val="50000"/>
          </a:schemeClr>
        </a:gs>
        <a:gs pos="74000">
          <a:schemeClr val="accent1">
            <a:lumMod val="45000"/>
            <a:lumOff val="55000"/>
            <a:alpha val="50000"/>
          </a:schemeClr>
        </a:gs>
        <a:gs pos="83000">
          <a:schemeClr val="accent1">
            <a:lumMod val="45000"/>
            <a:lumOff val="55000"/>
            <a:alpha val="50000"/>
          </a:schemeClr>
        </a:gs>
        <a:gs pos="100000">
          <a:schemeClr val="accent1">
            <a:lumMod val="30000"/>
            <a:lumOff val="70000"/>
            <a:alpha val="5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tabSelected="1" workbookViewId="0"/>
  </sheetViews>
  <pageMargins left="1" right="1" top="1.25" bottom="1.25" header="0" footer="0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107680" cy="536448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0.43296</cdr:x>
      <cdr:y>0.07704</cdr:y>
    </cdr:from>
    <cdr:to>
      <cdr:x>0.59351</cdr:x>
      <cdr:y>0.12533</cdr:y>
    </cdr:to>
    <cdr:sp macro="" textlink="Sheet!$N$1">
      <cdr:nvSpPr>
        <cdr:cNvPr id="2" name="TextBox 1"/>
        <cdr:cNvSpPr txBox="1"/>
      </cdr:nvSpPr>
      <cdr:spPr>
        <a:xfrm xmlns:a="http://schemas.openxmlformats.org/drawingml/2006/main">
          <a:off x="3752134" y="484531"/>
          <a:ext cx="1391365" cy="303721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95D25176-629F-4094-BCC7-F9DE95DCD325}" type="TxLink">
            <a:rPr lang="en-US" sz="1000" b="1" i="1" u="none" strike="noStrike">
              <a:solidFill>
                <a:schemeClr val="tx1"/>
              </a:solidFill>
              <a:latin typeface="Calibri"/>
            </a:rPr>
            <a:pPr algn="ctr"/>
            <a:t>Instrument = Piano mezzo-forte</a:t>
          </a:fld>
          <a:endParaRPr lang="en-US" sz="11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0.41919</cdr:x>
      <cdr:y>0.11842</cdr:y>
    </cdr:from>
    <cdr:to>
      <cdr:x>0.57973</cdr:x>
      <cdr:y>0.16671</cdr:y>
    </cdr:to>
    <cdr:sp macro="" textlink="Sheet!$O$1">
      <cdr:nvSpPr>
        <cdr:cNvPr id="3" name="TextBox 1"/>
        <cdr:cNvSpPr txBox="1"/>
      </cdr:nvSpPr>
      <cdr:spPr>
        <a:xfrm xmlns:a="http://schemas.openxmlformats.org/drawingml/2006/main">
          <a:off x="3632800" y="744830"/>
          <a:ext cx="1391278" cy="303721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8AA5036-1E45-47BE-8EBA-AA76448CECC0}" type="TxLink">
            <a:rPr lang="en-US" sz="1000" b="1" i="1" u="none" strike="noStrike">
              <a:solidFill>
                <a:schemeClr val="tx1"/>
              </a:solidFill>
              <a:latin typeface="Calibri"/>
            </a:rPr>
            <a:pPr algn="ctr"/>
            <a:t>Sample rate = 9615 Hz</a:t>
          </a:fld>
          <a:endParaRPr lang="en-US" sz="1100">
            <a:solidFill>
              <a:schemeClr val="tx1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O201"/>
  <sheetViews>
    <sheetView workbookViewId="0">
      <selection activeCell="C64" sqref="C64"/>
    </sheetView>
  </sheetViews>
  <sheetFormatPr defaultColWidth="6.44140625" defaultRowHeight="13.8" x14ac:dyDescent="0.3"/>
  <cols>
    <col min="1" max="1" width="21.77734375" style="1" customWidth="1"/>
    <col min="2" max="2" width="6.44140625" style="1"/>
    <col min="3" max="3" width="10.44140625" style="1" customWidth="1"/>
    <col min="4" max="4" width="7.77734375" style="8" customWidth="1"/>
    <col min="5" max="5" width="11.44140625" style="9" customWidth="1"/>
    <col min="6" max="9" width="11.44140625" style="10" customWidth="1"/>
    <col min="10" max="13" width="11.44140625" style="8" customWidth="1"/>
    <col min="14" max="14" width="9.77734375" style="1" customWidth="1"/>
    <col min="15" max="15" width="8.21875" style="1" bestFit="1" customWidth="1"/>
    <col min="16" max="16" width="10.5546875" style="1" customWidth="1"/>
    <col min="17" max="16384" width="6.44140625" style="1"/>
  </cols>
  <sheetData>
    <row r="1" spans="1:15" s="12" customFormat="1" x14ac:dyDescent="0.3">
      <c r="A1" s="4" t="s">
        <v>0</v>
      </c>
      <c r="B1" s="4" t="s">
        <v>88</v>
      </c>
      <c r="C1" s="4" t="s">
        <v>87</v>
      </c>
      <c r="D1" s="5" t="s">
        <v>89</v>
      </c>
      <c r="E1" s="6" t="s">
        <v>93</v>
      </c>
      <c r="F1" s="5" t="s">
        <v>92</v>
      </c>
      <c r="G1" s="5" t="s">
        <v>103</v>
      </c>
      <c r="H1" s="5" t="s">
        <v>94</v>
      </c>
      <c r="I1" s="5" t="s">
        <v>95</v>
      </c>
      <c r="J1" s="7" t="s">
        <v>96</v>
      </c>
      <c r="K1" s="7" t="s">
        <v>97</v>
      </c>
      <c r="L1" s="7" t="s">
        <v>98</v>
      </c>
      <c r="M1" s="7" t="s">
        <v>99</v>
      </c>
      <c r="N1" s="11" t="str">
        <f>"Instrument = " &amp; ConcatUniq(A2:A201,", ")</f>
        <v>Instrument = Piano mezzo-forte</v>
      </c>
      <c r="O1" s="11" t="str">
        <f>"Sample rate = " &amp; ConcatUniq(C2:C201,", ") &amp; " Hz"</f>
        <v>Sample rate = 9615 Hz</v>
      </c>
    </row>
    <row r="2" spans="1:15" hidden="1" x14ac:dyDescent="0.3">
      <c r="A2" s="1" t="s">
        <v>90</v>
      </c>
      <c r="B2" s="1" t="s">
        <v>20</v>
      </c>
      <c r="C2" s="1">
        <v>9615</v>
      </c>
      <c r="D2" s="8">
        <v>146.83000000000001</v>
      </c>
      <c r="G2" s="10">
        <v>146.80000000000001</v>
      </c>
      <c r="N2" s="1" t="s">
        <v>100</v>
      </c>
    </row>
    <row r="3" spans="1:15" hidden="1" x14ac:dyDescent="0.3">
      <c r="A3" s="1" t="str">
        <f>A2</f>
        <v>B♭ Clarinet pianissimo</v>
      </c>
      <c r="B3" s="1" t="s">
        <v>76</v>
      </c>
      <c r="C3" s="1">
        <v>9615</v>
      </c>
      <c r="D3" s="8">
        <v>155.56299999999999</v>
      </c>
      <c r="E3" s="9">
        <v>155.08000000000001</v>
      </c>
      <c r="F3" s="10">
        <v>154.54</v>
      </c>
      <c r="G3" s="10">
        <v>154.11000000000001</v>
      </c>
    </row>
    <row r="4" spans="1:15" hidden="1" x14ac:dyDescent="0.3">
      <c r="A4" s="1" t="str">
        <f t="shared" ref="A4:A47" si="0">A3</f>
        <v>B♭ Clarinet pianissimo</v>
      </c>
      <c r="B4" s="1" t="s">
        <v>27</v>
      </c>
      <c r="C4" s="1">
        <v>9615</v>
      </c>
      <c r="D4" s="8">
        <v>164.81</v>
      </c>
      <c r="E4" s="9">
        <v>162.97</v>
      </c>
      <c r="F4" s="10">
        <v>163.97</v>
      </c>
      <c r="G4" s="10">
        <v>162.66</v>
      </c>
    </row>
    <row r="5" spans="1:15" hidden="1" x14ac:dyDescent="0.3">
      <c r="A5" s="1" t="str">
        <f t="shared" si="0"/>
        <v>B♭ Clarinet pianissimo</v>
      </c>
      <c r="B5" s="1" t="s">
        <v>35</v>
      </c>
      <c r="C5" s="1">
        <v>9615</v>
      </c>
      <c r="D5" s="8">
        <v>174.61</v>
      </c>
      <c r="E5" s="9">
        <v>174.82</v>
      </c>
      <c r="F5" s="10">
        <v>175.82</v>
      </c>
      <c r="G5" s="10">
        <v>174.09</v>
      </c>
    </row>
    <row r="6" spans="1:15" hidden="1" x14ac:dyDescent="0.3">
      <c r="A6" s="1" t="str">
        <f t="shared" si="0"/>
        <v>B♭ Clarinet pianissimo</v>
      </c>
      <c r="B6" s="1" t="s">
        <v>43</v>
      </c>
      <c r="C6" s="1">
        <v>9615</v>
      </c>
      <c r="D6" s="8">
        <v>185</v>
      </c>
      <c r="E6" s="9">
        <v>184.9</v>
      </c>
      <c r="F6" s="10">
        <v>185.24</v>
      </c>
      <c r="G6" s="10">
        <v>183.93</v>
      </c>
    </row>
    <row r="7" spans="1:15" hidden="1" x14ac:dyDescent="0.3">
      <c r="A7" s="1" t="str">
        <f t="shared" si="0"/>
        <v>B♭ Clarinet pianissimo</v>
      </c>
      <c r="B7" s="1" t="s">
        <v>39</v>
      </c>
      <c r="C7" s="1">
        <v>9615</v>
      </c>
      <c r="D7" s="8">
        <v>196</v>
      </c>
      <c r="E7" s="9">
        <v>196.22</v>
      </c>
      <c r="F7" s="10">
        <v>196.67</v>
      </c>
      <c r="G7" s="10">
        <v>194.96</v>
      </c>
    </row>
    <row r="8" spans="1:15" hidden="1" x14ac:dyDescent="0.3">
      <c r="A8" s="1" t="str">
        <f t="shared" si="0"/>
        <v>B♭ Clarinet pianissimo</v>
      </c>
      <c r="B8" s="1" t="s">
        <v>5</v>
      </c>
      <c r="C8" s="1">
        <v>9615</v>
      </c>
      <c r="D8" s="8">
        <v>207.65</v>
      </c>
      <c r="E8" s="9">
        <v>209.02</v>
      </c>
      <c r="F8" s="10">
        <v>208.72</v>
      </c>
      <c r="G8" s="10">
        <v>207.63</v>
      </c>
    </row>
    <row r="9" spans="1:15" hidden="1" x14ac:dyDescent="0.3">
      <c r="A9" s="1" t="str">
        <f t="shared" si="0"/>
        <v>B♭ Clarinet pianissimo</v>
      </c>
      <c r="B9" s="1" t="s">
        <v>1</v>
      </c>
      <c r="C9" s="1">
        <v>9615</v>
      </c>
      <c r="D9" s="8">
        <v>220</v>
      </c>
      <c r="E9" s="9">
        <v>218.52</v>
      </c>
      <c r="F9" s="10">
        <v>220.25</v>
      </c>
      <c r="G9" s="10">
        <v>217.96</v>
      </c>
    </row>
    <row r="10" spans="1:15" hidden="1" x14ac:dyDescent="0.3">
      <c r="A10" s="1" t="str">
        <f t="shared" si="0"/>
        <v>B♭ Clarinet pianissimo</v>
      </c>
      <c r="B10" s="1" t="s">
        <v>13</v>
      </c>
      <c r="C10" s="1">
        <v>9615</v>
      </c>
      <c r="D10" s="8">
        <v>233.08</v>
      </c>
      <c r="E10" s="9">
        <v>234.51</v>
      </c>
      <c r="F10" s="10">
        <v>232.98</v>
      </c>
      <c r="G10" s="10">
        <v>232.15</v>
      </c>
    </row>
    <row r="11" spans="1:15" hidden="1" x14ac:dyDescent="0.3">
      <c r="A11" s="1" t="str">
        <f t="shared" si="0"/>
        <v>B♭ Clarinet pianissimo</v>
      </c>
      <c r="B11" s="1" t="s">
        <v>9</v>
      </c>
      <c r="C11" s="1">
        <v>9615</v>
      </c>
      <c r="D11" s="8">
        <v>246.94</v>
      </c>
      <c r="E11" s="9">
        <v>246.54</v>
      </c>
      <c r="F11" s="10">
        <v>247.27</v>
      </c>
      <c r="G11" s="10">
        <v>245.33</v>
      </c>
    </row>
    <row r="12" spans="1:15" hidden="1" x14ac:dyDescent="0.3">
      <c r="A12" s="1" t="str">
        <f t="shared" si="0"/>
        <v>B♭ Clarinet pianissimo</v>
      </c>
      <c r="B12" s="1" t="s">
        <v>17</v>
      </c>
      <c r="C12" s="1">
        <v>9615</v>
      </c>
      <c r="D12" s="8">
        <v>261.63</v>
      </c>
      <c r="E12" s="9">
        <v>259.86</v>
      </c>
      <c r="F12" s="10">
        <v>262.14999999999998</v>
      </c>
      <c r="G12" s="10">
        <v>258.91000000000003</v>
      </c>
    </row>
    <row r="13" spans="1:15" hidden="1" x14ac:dyDescent="0.3">
      <c r="A13" s="1" t="str">
        <f t="shared" si="0"/>
        <v>B♭ Clarinet pianissimo</v>
      </c>
      <c r="B13" s="1" t="s">
        <v>24</v>
      </c>
      <c r="C13" s="1">
        <v>9615</v>
      </c>
      <c r="D13" s="8">
        <v>277.18</v>
      </c>
      <c r="E13" s="9">
        <v>274.70999999999998</v>
      </c>
      <c r="F13" s="10">
        <v>276.10000000000002</v>
      </c>
      <c r="G13" s="10">
        <v>274.01</v>
      </c>
    </row>
    <row r="14" spans="1:15" hidden="1" x14ac:dyDescent="0.3">
      <c r="A14" s="1" t="str">
        <f t="shared" si="0"/>
        <v>B♭ Clarinet pianissimo</v>
      </c>
      <c r="B14" s="1" t="s">
        <v>21</v>
      </c>
      <c r="C14" s="1">
        <v>9615</v>
      </c>
      <c r="D14" s="8">
        <v>293.66000000000003</v>
      </c>
      <c r="E14" s="9">
        <v>291.36</v>
      </c>
      <c r="F14" s="10">
        <v>293.56</v>
      </c>
      <c r="G14" s="10">
        <v>290.77999999999997</v>
      </c>
    </row>
    <row r="15" spans="1:15" hidden="1" x14ac:dyDescent="0.3">
      <c r="A15" s="1" t="str">
        <f t="shared" si="0"/>
        <v>B♭ Clarinet pianissimo</v>
      </c>
      <c r="B15" s="1" t="s">
        <v>32</v>
      </c>
      <c r="C15" s="1">
        <v>9615</v>
      </c>
      <c r="D15" s="8">
        <v>311.13</v>
      </c>
      <c r="E15" s="9">
        <v>310.16000000000003</v>
      </c>
      <c r="F15" s="10">
        <v>310.5</v>
      </c>
      <c r="G15" s="10">
        <v>308.81</v>
      </c>
    </row>
    <row r="16" spans="1:15" hidden="1" x14ac:dyDescent="0.3">
      <c r="A16" s="1" t="str">
        <f t="shared" si="0"/>
        <v>B♭ Clarinet pianissimo</v>
      </c>
      <c r="B16" s="1" t="s">
        <v>28</v>
      </c>
      <c r="C16" s="1">
        <v>9615</v>
      </c>
      <c r="D16" s="8">
        <v>329.63</v>
      </c>
      <c r="E16" s="9">
        <v>331.55</v>
      </c>
      <c r="F16" s="10">
        <v>331.03</v>
      </c>
      <c r="G16" s="10">
        <v>329.75</v>
      </c>
    </row>
    <row r="17" spans="1:7" hidden="1" x14ac:dyDescent="0.3">
      <c r="A17" s="1" t="str">
        <f t="shared" si="0"/>
        <v>B♭ Clarinet pianissimo</v>
      </c>
      <c r="B17" s="1" t="s">
        <v>36</v>
      </c>
      <c r="C17" s="1">
        <v>9615</v>
      </c>
      <c r="D17" s="8">
        <v>349.23</v>
      </c>
      <c r="E17" s="9">
        <v>343.39</v>
      </c>
      <c r="F17" s="10">
        <v>348.92</v>
      </c>
      <c r="G17" s="10">
        <v>344</v>
      </c>
    </row>
    <row r="18" spans="1:7" hidden="1" x14ac:dyDescent="0.3">
      <c r="A18" s="1" t="str">
        <f t="shared" si="0"/>
        <v>B♭ Clarinet pianissimo</v>
      </c>
      <c r="B18" s="1" t="s">
        <v>44</v>
      </c>
      <c r="C18" s="1">
        <v>9615</v>
      </c>
      <c r="D18" s="8">
        <v>369.99</v>
      </c>
      <c r="E18" s="9">
        <v>369.81</v>
      </c>
      <c r="F18" s="10">
        <v>371.35</v>
      </c>
      <c r="G18" s="10">
        <v>367.54</v>
      </c>
    </row>
    <row r="19" spans="1:7" hidden="1" x14ac:dyDescent="0.3">
      <c r="A19" s="1" t="str">
        <f t="shared" si="0"/>
        <v>B♭ Clarinet pianissimo</v>
      </c>
      <c r="B19" s="1" t="s">
        <v>40</v>
      </c>
      <c r="C19" s="1">
        <v>9615</v>
      </c>
      <c r="D19" s="8">
        <v>392</v>
      </c>
      <c r="E19" s="9">
        <v>400.63</v>
      </c>
      <c r="F19" s="10">
        <v>392.79</v>
      </c>
      <c r="G19" s="10">
        <v>392.58</v>
      </c>
    </row>
    <row r="20" spans="1:7" hidden="1" x14ac:dyDescent="0.3">
      <c r="A20" s="1" t="str">
        <f t="shared" si="0"/>
        <v>B♭ Clarinet pianissimo</v>
      </c>
      <c r="B20" s="1" t="s">
        <v>6</v>
      </c>
      <c r="C20" s="1">
        <v>9615</v>
      </c>
      <c r="D20" s="8">
        <v>415.3</v>
      </c>
      <c r="E20" s="9">
        <v>418.04</v>
      </c>
      <c r="F20" s="10">
        <v>415.35</v>
      </c>
      <c r="G20" s="10">
        <v>413.19</v>
      </c>
    </row>
    <row r="21" spans="1:7" hidden="1" x14ac:dyDescent="0.3">
      <c r="A21" s="1" t="str">
        <f t="shared" si="0"/>
        <v>B♭ Clarinet pianissimo</v>
      </c>
      <c r="B21" s="1" t="s">
        <v>2</v>
      </c>
      <c r="C21" s="1">
        <v>9615</v>
      </c>
      <c r="D21" s="8">
        <v>440</v>
      </c>
      <c r="E21" s="9">
        <v>437.05</v>
      </c>
      <c r="F21" s="10">
        <v>440.21</v>
      </c>
      <c r="G21" s="10">
        <v>436.59</v>
      </c>
    </row>
    <row r="22" spans="1:7" hidden="1" x14ac:dyDescent="0.3">
      <c r="A22" s="1" t="str">
        <f t="shared" si="0"/>
        <v>B♭ Clarinet pianissimo</v>
      </c>
      <c r="B22" s="1" t="s">
        <v>14</v>
      </c>
      <c r="C22" s="1">
        <v>9615</v>
      </c>
      <c r="D22" s="8">
        <v>466.16</v>
      </c>
      <c r="E22" s="9">
        <v>457.86</v>
      </c>
      <c r="F22" s="10">
        <v>467.87</v>
      </c>
      <c r="G22" s="10">
        <v>460.54</v>
      </c>
    </row>
    <row r="23" spans="1:7" hidden="1" x14ac:dyDescent="0.3">
      <c r="A23" s="1" t="str">
        <f t="shared" si="0"/>
        <v>B♭ Clarinet pianissimo</v>
      </c>
      <c r="B23" s="1" t="s">
        <v>10</v>
      </c>
      <c r="C23" s="1">
        <v>9615</v>
      </c>
      <c r="D23" s="8">
        <v>493.88</v>
      </c>
      <c r="E23" s="9">
        <v>506.05</v>
      </c>
      <c r="F23" s="10">
        <v>493.54</v>
      </c>
      <c r="G23" s="10">
        <v>485.06</v>
      </c>
    </row>
    <row r="24" spans="1:7" hidden="1" x14ac:dyDescent="0.3">
      <c r="A24" s="1" t="str">
        <f t="shared" si="0"/>
        <v>B♭ Clarinet pianissimo</v>
      </c>
      <c r="B24" s="1" t="s">
        <v>18</v>
      </c>
      <c r="C24" s="1">
        <v>9615</v>
      </c>
      <c r="D24" s="8">
        <v>523.25</v>
      </c>
      <c r="E24" s="9">
        <v>534.16999999999996</v>
      </c>
      <c r="F24" s="10">
        <v>525.57000000000005</v>
      </c>
      <c r="G24" s="10">
        <v>523.38</v>
      </c>
    </row>
    <row r="25" spans="1:7" hidden="1" x14ac:dyDescent="0.3">
      <c r="A25" s="1" t="str">
        <f t="shared" si="0"/>
        <v>B♭ Clarinet pianissimo</v>
      </c>
      <c r="B25" s="1" t="s">
        <v>25</v>
      </c>
      <c r="C25" s="1">
        <v>9615</v>
      </c>
      <c r="D25" s="8">
        <v>554.37</v>
      </c>
      <c r="E25" s="9">
        <v>565.59</v>
      </c>
      <c r="F25" s="10">
        <v>556.59</v>
      </c>
      <c r="G25" s="10">
        <v>554.9</v>
      </c>
    </row>
    <row r="26" spans="1:7" hidden="1" x14ac:dyDescent="0.3">
      <c r="A26" s="1" t="str">
        <f t="shared" si="0"/>
        <v>B♭ Clarinet pianissimo</v>
      </c>
      <c r="B26" s="1" t="s">
        <v>22</v>
      </c>
      <c r="C26" s="1">
        <v>9615</v>
      </c>
      <c r="D26" s="8">
        <v>587.33000000000004</v>
      </c>
      <c r="E26" s="9">
        <v>600.94000000000005</v>
      </c>
      <c r="F26" s="10">
        <v>587.62</v>
      </c>
      <c r="G26" s="10">
        <v>586.07000000000005</v>
      </c>
    </row>
    <row r="27" spans="1:7" hidden="1" x14ac:dyDescent="0.3">
      <c r="A27" s="1" t="str">
        <f t="shared" si="0"/>
        <v>B♭ Clarinet pianissimo</v>
      </c>
      <c r="B27" s="1" t="s">
        <v>33</v>
      </c>
      <c r="C27" s="1">
        <v>9615</v>
      </c>
      <c r="D27" s="8">
        <v>622.25</v>
      </c>
      <c r="E27" s="9">
        <v>641</v>
      </c>
      <c r="F27" s="10">
        <v>623.29</v>
      </c>
      <c r="G27" s="10">
        <v>621.75</v>
      </c>
    </row>
    <row r="28" spans="1:7" hidden="1" x14ac:dyDescent="0.3">
      <c r="A28" s="1" t="str">
        <f t="shared" si="0"/>
        <v>B♭ Clarinet pianissimo</v>
      </c>
      <c r="B28" s="1" t="s">
        <v>29</v>
      </c>
      <c r="C28" s="1">
        <v>9615</v>
      </c>
      <c r="D28" s="8">
        <v>659.26</v>
      </c>
      <c r="E28" s="9">
        <v>641</v>
      </c>
      <c r="F28" s="10">
        <v>659.05</v>
      </c>
      <c r="G28" s="10">
        <v>648.30999999999995</v>
      </c>
    </row>
    <row r="29" spans="1:7" hidden="1" x14ac:dyDescent="0.3">
      <c r="A29" s="1" t="str">
        <f t="shared" si="0"/>
        <v>B♭ Clarinet pianissimo</v>
      </c>
      <c r="B29" s="1" t="s">
        <v>37</v>
      </c>
      <c r="C29" s="1">
        <v>9615</v>
      </c>
      <c r="D29" s="8">
        <v>698.46</v>
      </c>
      <c r="E29" s="9">
        <v>686.79</v>
      </c>
      <c r="F29" s="10">
        <v>699.23</v>
      </c>
      <c r="G29" s="10">
        <v>690.46</v>
      </c>
    </row>
    <row r="30" spans="1:7" hidden="1" x14ac:dyDescent="0.3">
      <c r="A30" s="1" t="str">
        <f t="shared" si="0"/>
        <v>B♭ Clarinet pianissimo</v>
      </c>
      <c r="B30" s="1" t="s">
        <v>45</v>
      </c>
      <c r="C30" s="1">
        <v>9615</v>
      </c>
      <c r="D30" s="8">
        <v>739.99</v>
      </c>
      <c r="E30" s="9">
        <v>739.62</v>
      </c>
      <c r="F30" s="10">
        <v>740.54</v>
      </c>
      <c r="G30" s="10">
        <v>735.57</v>
      </c>
    </row>
    <row r="31" spans="1:7" hidden="1" x14ac:dyDescent="0.3">
      <c r="A31" s="1" t="str">
        <f t="shared" si="0"/>
        <v>B♭ Clarinet pianissimo</v>
      </c>
      <c r="B31" s="1" t="s">
        <v>41</v>
      </c>
      <c r="C31" s="1">
        <v>9615</v>
      </c>
      <c r="D31" s="8">
        <v>783.99</v>
      </c>
      <c r="E31" s="9">
        <v>801.25</v>
      </c>
      <c r="F31" s="10">
        <v>786.3</v>
      </c>
      <c r="G31" s="10">
        <v>783.18</v>
      </c>
    </row>
    <row r="32" spans="1:7" hidden="1" x14ac:dyDescent="0.3">
      <c r="A32" s="1" t="str">
        <f t="shared" si="0"/>
        <v>B♭ Clarinet pianissimo</v>
      </c>
      <c r="B32" s="1" t="s">
        <v>7</v>
      </c>
      <c r="C32" s="1">
        <v>9615</v>
      </c>
      <c r="D32" s="8">
        <v>830.61</v>
      </c>
      <c r="E32" s="9">
        <v>801.25</v>
      </c>
      <c r="F32" s="10">
        <v>828.98</v>
      </c>
      <c r="G32" s="10">
        <v>819.69</v>
      </c>
    </row>
    <row r="33" spans="1:7" hidden="1" x14ac:dyDescent="0.3">
      <c r="A33" s="1" t="str">
        <f t="shared" si="0"/>
        <v>B♭ Clarinet pianissimo</v>
      </c>
      <c r="B33" s="1" t="s">
        <v>3</v>
      </c>
      <c r="C33" s="1">
        <v>9615</v>
      </c>
      <c r="D33" s="8">
        <v>880</v>
      </c>
      <c r="E33" s="9">
        <v>874.09</v>
      </c>
      <c r="F33" s="10">
        <v>879.96</v>
      </c>
      <c r="G33" s="10">
        <v>874.71</v>
      </c>
    </row>
    <row r="34" spans="1:7" hidden="1" x14ac:dyDescent="0.3">
      <c r="A34" s="1" t="str">
        <f t="shared" si="0"/>
        <v>B♭ Clarinet pianissimo</v>
      </c>
      <c r="B34" s="1" t="s">
        <v>15</v>
      </c>
      <c r="C34" s="1">
        <v>9615</v>
      </c>
      <c r="D34" s="8">
        <v>932.33</v>
      </c>
      <c r="E34" s="9">
        <v>961.5</v>
      </c>
      <c r="F34" s="10">
        <v>936.94</v>
      </c>
      <c r="G34" s="10">
        <v>934.92</v>
      </c>
    </row>
    <row r="35" spans="1:7" hidden="1" x14ac:dyDescent="0.3">
      <c r="A35" s="1" t="str">
        <f t="shared" si="0"/>
        <v>B♭ Clarinet pianissimo</v>
      </c>
      <c r="B35" s="1" t="s">
        <v>11</v>
      </c>
      <c r="C35" s="1">
        <v>9615</v>
      </c>
      <c r="D35" s="8">
        <v>987.77</v>
      </c>
      <c r="E35" s="9">
        <v>961.5</v>
      </c>
      <c r="F35" s="10">
        <v>989.1</v>
      </c>
      <c r="G35" s="10">
        <v>981.33</v>
      </c>
    </row>
    <row r="36" spans="1:7" hidden="1" x14ac:dyDescent="0.3">
      <c r="A36" s="1" t="str">
        <f t="shared" si="0"/>
        <v>B♭ Clarinet pianissimo</v>
      </c>
      <c r="B36" s="1" t="s">
        <v>19</v>
      </c>
      <c r="C36" s="1">
        <v>9615</v>
      </c>
      <c r="D36" s="8">
        <v>1046.5</v>
      </c>
      <c r="E36" s="9">
        <v>1068.33</v>
      </c>
      <c r="F36" s="10">
        <v>1050.77</v>
      </c>
      <c r="G36" s="10">
        <v>1048.1199999999999</v>
      </c>
    </row>
    <row r="37" spans="1:7" hidden="1" x14ac:dyDescent="0.3">
      <c r="A37" s="1" t="str">
        <f t="shared" si="0"/>
        <v>B♭ Clarinet pianissimo</v>
      </c>
      <c r="B37" s="1" t="s">
        <v>26</v>
      </c>
      <c r="C37" s="1">
        <v>9615</v>
      </c>
      <c r="D37" s="8">
        <v>1108.73</v>
      </c>
      <c r="E37" s="9">
        <v>1068.33</v>
      </c>
      <c r="F37" s="10">
        <v>1105.69</v>
      </c>
      <c r="G37" s="10">
        <v>1099.25</v>
      </c>
    </row>
    <row r="38" spans="1:7" hidden="1" x14ac:dyDescent="0.3">
      <c r="A38" s="1" t="str">
        <f t="shared" si="0"/>
        <v>B♭ Clarinet pianissimo</v>
      </c>
      <c r="B38" s="1" t="s">
        <v>23</v>
      </c>
      <c r="C38" s="1">
        <v>9615</v>
      </c>
      <c r="D38" s="8">
        <v>1174.6600000000001</v>
      </c>
      <c r="E38" s="9">
        <v>1201.8800000000001</v>
      </c>
      <c r="F38" s="10">
        <v>1182.55</v>
      </c>
      <c r="G38" s="10">
        <v>1180.3800000000001</v>
      </c>
    </row>
    <row r="39" spans="1:7" hidden="1" x14ac:dyDescent="0.3">
      <c r="A39" s="1" t="str">
        <f t="shared" si="0"/>
        <v>B♭ Clarinet pianissimo</v>
      </c>
      <c r="B39" s="1" t="s">
        <v>34</v>
      </c>
      <c r="C39" s="1">
        <v>9615</v>
      </c>
      <c r="D39" s="8">
        <v>1244.51</v>
      </c>
      <c r="E39" s="9">
        <v>1201.8800000000001</v>
      </c>
      <c r="F39" s="10">
        <v>1233.46</v>
      </c>
      <c r="G39" s="10">
        <v>1228.22</v>
      </c>
    </row>
    <row r="40" spans="1:7" hidden="1" x14ac:dyDescent="0.3">
      <c r="A40" s="1" t="str">
        <f t="shared" si="0"/>
        <v>B♭ Clarinet pianissimo</v>
      </c>
      <c r="B40" s="1" t="s">
        <v>30</v>
      </c>
      <c r="C40" s="1">
        <v>9615</v>
      </c>
      <c r="D40" s="8">
        <v>1318.51</v>
      </c>
      <c r="E40" s="9">
        <v>1373.57</v>
      </c>
      <c r="F40" s="10">
        <v>1307.8599999999999</v>
      </c>
      <c r="G40" s="10">
        <v>1306.43</v>
      </c>
    </row>
    <row r="41" spans="1:7" hidden="1" x14ac:dyDescent="0.3">
      <c r="A41" s="1" t="str">
        <f t="shared" si="0"/>
        <v>B♭ Clarinet pianissimo</v>
      </c>
      <c r="B41" s="1" t="s">
        <v>38</v>
      </c>
      <c r="C41" s="1">
        <v>9615</v>
      </c>
      <c r="D41" s="8">
        <v>1396.91</v>
      </c>
      <c r="E41" s="9">
        <v>1373.57</v>
      </c>
      <c r="F41" s="10">
        <v>1381.74</v>
      </c>
      <c r="G41" s="10">
        <v>1380.77</v>
      </c>
    </row>
    <row r="42" spans="1:7" hidden="1" x14ac:dyDescent="0.3">
      <c r="A42" s="1" t="str">
        <f t="shared" si="0"/>
        <v>B♭ Clarinet pianissimo</v>
      </c>
      <c r="B42" s="1" t="s">
        <v>46</v>
      </c>
      <c r="C42" s="1">
        <v>9615</v>
      </c>
      <c r="D42" s="8">
        <v>1479.98</v>
      </c>
      <c r="E42" s="9">
        <v>1373.57</v>
      </c>
      <c r="F42" s="10">
        <v>1457.87</v>
      </c>
      <c r="G42" s="10">
        <v>735.21</v>
      </c>
    </row>
    <row r="43" spans="1:7" hidden="1" x14ac:dyDescent="0.3">
      <c r="A43" s="1" t="str">
        <f t="shared" si="0"/>
        <v>B♭ Clarinet pianissimo</v>
      </c>
      <c r="B43" s="1" t="s">
        <v>42</v>
      </c>
      <c r="C43" s="1">
        <v>9615</v>
      </c>
      <c r="D43" s="8">
        <v>1567.98</v>
      </c>
      <c r="F43" s="10">
        <v>1567.81</v>
      </c>
    </row>
    <row r="44" spans="1:7" hidden="1" x14ac:dyDescent="0.3">
      <c r="A44" s="1" t="str">
        <f t="shared" si="0"/>
        <v>B♭ Clarinet pianissimo</v>
      </c>
      <c r="B44" s="1" t="s">
        <v>8</v>
      </c>
      <c r="C44" s="1">
        <v>9615</v>
      </c>
      <c r="D44" s="8">
        <v>1661.22</v>
      </c>
    </row>
    <row r="45" spans="1:7" hidden="1" x14ac:dyDescent="0.3">
      <c r="A45" s="1" t="str">
        <f t="shared" si="0"/>
        <v>B♭ Clarinet pianissimo</v>
      </c>
      <c r="B45" s="1" t="s">
        <v>4</v>
      </c>
      <c r="C45" s="1">
        <v>9615</v>
      </c>
      <c r="D45" s="8">
        <v>1760</v>
      </c>
      <c r="E45" s="9">
        <v>874.09</v>
      </c>
      <c r="F45" s="10">
        <v>873.51</v>
      </c>
      <c r="G45" s="10">
        <v>873.8</v>
      </c>
    </row>
    <row r="46" spans="1:7" hidden="1" x14ac:dyDescent="0.3">
      <c r="A46" s="1" t="str">
        <f t="shared" si="0"/>
        <v>B♭ Clarinet pianissimo</v>
      </c>
      <c r="B46" s="1" t="s">
        <v>16</v>
      </c>
      <c r="C46" s="1">
        <v>9615</v>
      </c>
      <c r="D46" s="8">
        <v>1864.66</v>
      </c>
    </row>
    <row r="47" spans="1:7" hidden="1" x14ac:dyDescent="0.3">
      <c r="A47" s="1" t="str">
        <f t="shared" si="0"/>
        <v>B♭ Clarinet pianissimo</v>
      </c>
      <c r="B47" s="1" t="s">
        <v>12</v>
      </c>
      <c r="C47" s="1">
        <v>9615</v>
      </c>
      <c r="D47" s="8">
        <v>1975.53</v>
      </c>
    </row>
    <row r="48" spans="1:7" hidden="1" x14ac:dyDescent="0.3">
      <c r="A48" s="1" t="s">
        <v>101</v>
      </c>
      <c r="B48" s="1" t="s">
        <v>71</v>
      </c>
      <c r="C48" s="1">
        <v>9615</v>
      </c>
      <c r="D48" s="1">
        <v>138.59</v>
      </c>
      <c r="G48" s="10">
        <v>138.82</v>
      </c>
    </row>
    <row r="49" spans="1:7" hidden="1" x14ac:dyDescent="0.3">
      <c r="A49" s="1" t="str">
        <f>A48</f>
        <v>E♭ Alto Saxophone fortissimo</v>
      </c>
      <c r="B49" s="1" t="s">
        <v>20</v>
      </c>
      <c r="C49" s="1">
        <v>9615</v>
      </c>
      <c r="D49" s="1">
        <v>146.83000000000001</v>
      </c>
      <c r="F49" s="10">
        <v>147.13999999999999</v>
      </c>
      <c r="G49" s="10">
        <v>146.93</v>
      </c>
    </row>
    <row r="50" spans="1:7" hidden="1" x14ac:dyDescent="0.3">
      <c r="A50" s="1" t="str">
        <f t="shared" ref="A50:A113" si="1">A49</f>
        <v>E♭ Alto Saxophone fortissimo</v>
      </c>
      <c r="B50" s="1" t="s">
        <v>76</v>
      </c>
      <c r="C50" s="1">
        <v>9615</v>
      </c>
      <c r="D50" s="1">
        <v>155.56</v>
      </c>
      <c r="F50" s="10">
        <v>155.32</v>
      </c>
      <c r="G50" s="10">
        <v>154.38999999999999</v>
      </c>
    </row>
    <row r="51" spans="1:7" hidden="1" x14ac:dyDescent="0.3">
      <c r="A51" s="1" t="str">
        <f t="shared" si="1"/>
        <v>E♭ Alto Saxophone fortissimo</v>
      </c>
      <c r="B51" s="1" t="s">
        <v>27</v>
      </c>
      <c r="C51" s="1">
        <v>9615</v>
      </c>
      <c r="D51" s="1">
        <v>164.81</v>
      </c>
      <c r="F51" s="10">
        <v>164.65</v>
      </c>
      <c r="G51" s="10">
        <v>164.44</v>
      </c>
    </row>
    <row r="52" spans="1:7" hidden="1" x14ac:dyDescent="0.3">
      <c r="A52" s="1" t="str">
        <f t="shared" si="1"/>
        <v>E♭ Alto Saxophone fortissimo</v>
      </c>
      <c r="B52" s="1" t="s">
        <v>35</v>
      </c>
      <c r="C52" s="1">
        <v>9615</v>
      </c>
      <c r="D52" s="1">
        <v>174.61</v>
      </c>
      <c r="F52" s="10">
        <v>173.4</v>
      </c>
      <c r="G52" s="10">
        <v>173.25</v>
      </c>
    </row>
    <row r="53" spans="1:7" hidden="1" x14ac:dyDescent="0.3">
      <c r="A53" s="1" t="str">
        <f t="shared" si="1"/>
        <v>E♭ Alto Saxophone fortissimo</v>
      </c>
      <c r="B53" s="1" t="s">
        <v>43</v>
      </c>
      <c r="C53" s="1">
        <v>9615</v>
      </c>
      <c r="D53" s="1">
        <v>185</v>
      </c>
      <c r="F53" s="10">
        <v>183.72</v>
      </c>
      <c r="G53" s="10">
        <v>183.29</v>
      </c>
    </row>
    <row r="54" spans="1:7" hidden="1" x14ac:dyDescent="0.3">
      <c r="A54" s="1" t="str">
        <f t="shared" si="1"/>
        <v>E♭ Alto Saxophone fortissimo</v>
      </c>
      <c r="B54" s="1" t="s">
        <v>39</v>
      </c>
      <c r="C54" s="1">
        <v>9615</v>
      </c>
      <c r="D54" s="1">
        <v>196</v>
      </c>
      <c r="F54" s="10">
        <v>196.82</v>
      </c>
      <c r="G54" s="10">
        <v>195.05</v>
      </c>
    </row>
    <row r="55" spans="1:7" hidden="1" x14ac:dyDescent="0.3">
      <c r="A55" s="1" t="str">
        <f t="shared" si="1"/>
        <v>E♭ Alto Saxophone fortissimo</v>
      </c>
      <c r="B55" s="1" t="s">
        <v>5</v>
      </c>
      <c r="C55" s="1">
        <v>9615</v>
      </c>
      <c r="D55" s="1">
        <v>207.65</v>
      </c>
      <c r="F55" s="10">
        <v>206.93</v>
      </c>
      <c r="G55" s="10">
        <v>203.72</v>
      </c>
    </row>
    <row r="56" spans="1:7" hidden="1" x14ac:dyDescent="0.3">
      <c r="A56" s="1" t="str">
        <f t="shared" si="1"/>
        <v>E♭ Alto Saxophone fortissimo</v>
      </c>
      <c r="B56" s="1" t="s">
        <v>1</v>
      </c>
      <c r="C56" s="1">
        <v>9615</v>
      </c>
      <c r="D56" s="1">
        <v>220</v>
      </c>
      <c r="F56" s="10">
        <v>219.79</v>
      </c>
      <c r="G56" s="10">
        <v>217.51</v>
      </c>
    </row>
    <row r="57" spans="1:7" hidden="1" x14ac:dyDescent="0.3">
      <c r="A57" s="1" t="str">
        <f t="shared" si="1"/>
        <v>E♭ Alto Saxophone fortissimo</v>
      </c>
      <c r="B57" s="1" t="s">
        <v>13</v>
      </c>
      <c r="C57" s="1">
        <v>9615</v>
      </c>
      <c r="D57" s="1">
        <v>233.08</v>
      </c>
      <c r="F57" s="10">
        <v>233.31</v>
      </c>
      <c r="G57" s="10">
        <v>232.25</v>
      </c>
    </row>
    <row r="58" spans="1:7" hidden="1" x14ac:dyDescent="0.3">
      <c r="A58" s="1" t="str">
        <f t="shared" si="1"/>
        <v>E♭ Alto Saxophone fortissimo</v>
      </c>
      <c r="B58" s="1" t="s">
        <v>9</v>
      </c>
      <c r="C58" s="1">
        <v>9615</v>
      </c>
      <c r="D58" s="1">
        <v>246.94</v>
      </c>
      <c r="F58" s="10">
        <v>246.8</v>
      </c>
      <c r="G58" s="10">
        <v>244.93</v>
      </c>
    </row>
    <row r="59" spans="1:7" hidden="1" x14ac:dyDescent="0.3">
      <c r="A59" s="1" t="str">
        <f t="shared" si="1"/>
        <v>E♭ Alto Saxophone fortissimo</v>
      </c>
      <c r="B59" s="1" t="s">
        <v>17</v>
      </c>
      <c r="C59" s="1">
        <v>9615</v>
      </c>
      <c r="D59" s="1">
        <v>261.63</v>
      </c>
      <c r="F59" s="10">
        <v>261.16000000000003</v>
      </c>
      <c r="G59" s="10">
        <v>258.35000000000002</v>
      </c>
    </row>
    <row r="60" spans="1:7" hidden="1" x14ac:dyDescent="0.3">
      <c r="A60" s="1" t="str">
        <f t="shared" si="1"/>
        <v>E♭ Alto Saxophone fortissimo</v>
      </c>
      <c r="B60" s="1" t="s">
        <v>24</v>
      </c>
      <c r="C60" s="1">
        <v>9615</v>
      </c>
      <c r="D60" s="1">
        <v>277.18</v>
      </c>
      <c r="F60" s="10">
        <v>276.39999999999998</v>
      </c>
      <c r="G60" s="10">
        <v>273.08</v>
      </c>
    </row>
    <row r="61" spans="1:7" hidden="1" x14ac:dyDescent="0.3">
      <c r="A61" s="1" t="str">
        <f t="shared" si="1"/>
        <v>E♭ Alto Saxophone fortissimo</v>
      </c>
      <c r="B61" s="1" t="s">
        <v>21</v>
      </c>
      <c r="C61" s="1">
        <v>9615</v>
      </c>
      <c r="D61" s="1">
        <v>293.66000000000003</v>
      </c>
      <c r="F61" s="10">
        <v>293.43</v>
      </c>
      <c r="G61" s="10">
        <v>288.99</v>
      </c>
    </row>
    <row r="62" spans="1:7" hidden="1" x14ac:dyDescent="0.3">
      <c r="A62" s="1" t="str">
        <f t="shared" si="1"/>
        <v>E♭ Alto Saxophone fortissimo</v>
      </c>
      <c r="B62" s="1" t="s">
        <v>32</v>
      </c>
      <c r="C62" s="1">
        <v>9615</v>
      </c>
      <c r="D62" s="1">
        <v>311.13</v>
      </c>
      <c r="F62" s="10">
        <v>310.16000000000003</v>
      </c>
      <c r="G62" s="10">
        <v>308.3</v>
      </c>
    </row>
    <row r="63" spans="1:7" hidden="1" x14ac:dyDescent="0.3">
      <c r="A63" s="1" t="str">
        <f t="shared" si="1"/>
        <v>E♭ Alto Saxophone fortissimo</v>
      </c>
      <c r="B63" s="1" t="s">
        <v>28</v>
      </c>
      <c r="C63" s="1">
        <v>9615</v>
      </c>
      <c r="D63" s="1">
        <v>329.63</v>
      </c>
      <c r="F63" s="10">
        <v>328.93</v>
      </c>
      <c r="G63" s="10">
        <v>327.75</v>
      </c>
    </row>
    <row r="64" spans="1:7" hidden="1" x14ac:dyDescent="0.3">
      <c r="A64" s="1" t="str">
        <f t="shared" si="1"/>
        <v>E♭ Alto Saxophone fortissimo</v>
      </c>
      <c r="B64" s="1" t="s">
        <v>36</v>
      </c>
      <c r="C64" s="1">
        <v>9615</v>
      </c>
      <c r="D64" s="1">
        <v>349.23</v>
      </c>
      <c r="F64" s="10">
        <v>351.99</v>
      </c>
      <c r="G64" s="10">
        <v>351.09</v>
      </c>
    </row>
    <row r="65" spans="1:7" hidden="1" x14ac:dyDescent="0.3">
      <c r="A65" s="1" t="str">
        <f t="shared" si="1"/>
        <v>E♭ Alto Saxophone fortissimo</v>
      </c>
      <c r="B65" s="1" t="s">
        <v>44</v>
      </c>
      <c r="C65" s="1">
        <v>9615</v>
      </c>
      <c r="D65" s="1">
        <v>369.99</v>
      </c>
      <c r="F65" s="10">
        <v>372.95</v>
      </c>
      <c r="G65" s="10">
        <v>369.22</v>
      </c>
    </row>
    <row r="66" spans="1:7" hidden="1" x14ac:dyDescent="0.3">
      <c r="A66" s="1" t="str">
        <f t="shared" si="1"/>
        <v>E♭ Alto Saxophone fortissimo</v>
      </c>
      <c r="B66" s="1" t="s">
        <v>40</v>
      </c>
      <c r="C66" s="1">
        <v>9615</v>
      </c>
      <c r="D66" s="1">
        <v>392</v>
      </c>
      <c r="F66" s="10">
        <v>397.18</v>
      </c>
      <c r="G66" s="10">
        <v>395.4</v>
      </c>
    </row>
    <row r="67" spans="1:7" hidden="1" x14ac:dyDescent="0.3">
      <c r="A67" s="1" t="str">
        <f t="shared" si="1"/>
        <v>E♭ Alto Saxophone fortissimo</v>
      </c>
      <c r="B67" s="1" t="s">
        <v>6</v>
      </c>
      <c r="C67" s="1">
        <v>9615</v>
      </c>
      <c r="D67" s="1">
        <v>415.3</v>
      </c>
      <c r="F67" s="10">
        <v>417.42</v>
      </c>
      <c r="G67" s="10">
        <v>414.23</v>
      </c>
    </row>
    <row r="68" spans="1:7" hidden="1" x14ac:dyDescent="0.3">
      <c r="A68" s="1" t="str">
        <f t="shared" si="1"/>
        <v>E♭ Alto Saxophone fortissimo</v>
      </c>
      <c r="B68" s="1" t="s">
        <v>2</v>
      </c>
      <c r="C68" s="1">
        <v>9615</v>
      </c>
      <c r="D68" s="1">
        <v>440</v>
      </c>
      <c r="F68" s="10">
        <v>442.75</v>
      </c>
      <c r="G68" s="10">
        <v>435.23</v>
      </c>
    </row>
    <row r="69" spans="1:7" hidden="1" x14ac:dyDescent="0.3">
      <c r="A69" s="1" t="str">
        <f t="shared" si="1"/>
        <v>E♭ Alto Saxophone fortissimo</v>
      </c>
      <c r="B69" s="1" t="s">
        <v>14</v>
      </c>
      <c r="C69" s="1">
        <v>9615</v>
      </c>
      <c r="D69" s="1">
        <v>466.16</v>
      </c>
      <c r="F69" s="10">
        <v>471.76</v>
      </c>
      <c r="G69" s="10">
        <v>470.38</v>
      </c>
    </row>
    <row r="70" spans="1:7" hidden="1" x14ac:dyDescent="0.3">
      <c r="A70" s="1" t="str">
        <f t="shared" si="1"/>
        <v>E♭ Alto Saxophone fortissimo</v>
      </c>
      <c r="B70" s="1" t="s">
        <v>10</v>
      </c>
      <c r="C70" s="1">
        <v>9615</v>
      </c>
      <c r="D70" s="1">
        <v>493.88</v>
      </c>
      <c r="F70" s="10">
        <v>499.74</v>
      </c>
      <c r="G70" s="10">
        <v>498.02</v>
      </c>
    </row>
    <row r="71" spans="1:7" hidden="1" x14ac:dyDescent="0.3">
      <c r="A71" s="1" t="str">
        <f t="shared" si="1"/>
        <v>E♭ Alto Saxophone fortissimo</v>
      </c>
      <c r="B71" s="1" t="s">
        <v>18</v>
      </c>
      <c r="C71" s="1">
        <v>9615</v>
      </c>
      <c r="D71" s="1">
        <v>523.25</v>
      </c>
      <c r="F71" s="10">
        <v>529.24</v>
      </c>
      <c r="G71" s="10">
        <v>528.23</v>
      </c>
    </row>
    <row r="72" spans="1:7" hidden="1" x14ac:dyDescent="0.3">
      <c r="A72" s="1" t="str">
        <f t="shared" si="1"/>
        <v>E♭ Alto Saxophone fortissimo</v>
      </c>
      <c r="B72" s="1" t="s">
        <v>25</v>
      </c>
      <c r="C72" s="1">
        <v>9615</v>
      </c>
      <c r="D72" s="1">
        <v>554.37</v>
      </c>
      <c r="F72" s="10">
        <v>558.58000000000004</v>
      </c>
      <c r="G72" s="10">
        <v>558.35</v>
      </c>
    </row>
    <row r="73" spans="1:7" hidden="1" x14ac:dyDescent="0.3">
      <c r="A73" s="1" t="str">
        <f t="shared" si="1"/>
        <v>E♭ Alto Saxophone fortissimo</v>
      </c>
      <c r="B73" s="1" t="s">
        <v>22</v>
      </c>
      <c r="C73" s="1">
        <v>9615</v>
      </c>
      <c r="D73" s="1">
        <v>587.33000000000004</v>
      </c>
      <c r="F73" s="10">
        <v>588.51</v>
      </c>
      <c r="G73" s="10">
        <v>588.35</v>
      </c>
    </row>
    <row r="74" spans="1:7" hidden="1" x14ac:dyDescent="0.3">
      <c r="A74" s="1" t="str">
        <f t="shared" si="1"/>
        <v>E♭ Alto Saxophone fortissimo</v>
      </c>
      <c r="B74" s="1" t="s">
        <v>33</v>
      </c>
      <c r="C74" s="1">
        <v>9615</v>
      </c>
      <c r="D74" s="1">
        <v>622.25</v>
      </c>
      <c r="F74" s="10">
        <v>624.75</v>
      </c>
      <c r="G74" s="10">
        <v>624.57000000000005</v>
      </c>
    </row>
    <row r="75" spans="1:7" hidden="1" x14ac:dyDescent="0.3">
      <c r="A75" s="1" t="str">
        <f t="shared" si="1"/>
        <v>E♭ Alto Saxophone fortissimo</v>
      </c>
      <c r="B75" s="1" t="s">
        <v>29</v>
      </c>
      <c r="C75" s="1">
        <v>9615</v>
      </c>
      <c r="D75" s="1">
        <v>659.26</v>
      </c>
      <c r="F75" s="10">
        <v>665.32</v>
      </c>
      <c r="G75" s="10">
        <v>664.82</v>
      </c>
    </row>
    <row r="76" spans="1:7" hidden="1" x14ac:dyDescent="0.3">
      <c r="A76" s="1" t="str">
        <f t="shared" si="1"/>
        <v>E♭ Alto Saxophone fortissimo</v>
      </c>
      <c r="B76" s="1" t="s">
        <v>37</v>
      </c>
      <c r="C76" s="1">
        <v>9615</v>
      </c>
      <c r="D76" s="1">
        <v>698.46</v>
      </c>
      <c r="F76" s="10">
        <v>701.02</v>
      </c>
      <c r="G76" s="10">
        <v>697.69</v>
      </c>
    </row>
    <row r="77" spans="1:7" hidden="1" x14ac:dyDescent="0.3">
      <c r="A77" s="1" t="str">
        <f t="shared" si="1"/>
        <v>E♭ Alto Saxophone fortissimo</v>
      </c>
      <c r="B77" s="1" t="s">
        <v>45</v>
      </c>
      <c r="C77" s="1">
        <v>9615</v>
      </c>
      <c r="D77" s="1">
        <v>739.99</v>
      </c>
      <c r="F77" s="10">
        <v>740.66</v>
      </c>
      <c r="G77" s="10">
        <v>738.8</v>
      </c>
    </row>
    <row r="78" spans="1:7" hidden="1" x14ac:dyDescent="0.3">
      <c r="A78" s="1" t="str">
        <f t="shared" si="1"/>
        <v>E♭ Alto Saxophone fortissimo</v>
      </c>
      <c r="B78" s="1" t="s">
        <v>41</v>
      </c>
      <c r="C78" s="1">
        <v>9615</v>
      </c>
      <c r="D78" s="1">
        <v>783.99</v>
      </c>
      <c r="F78" s="10">
        <v>789.06</v>
      </c>
      <c r="G78" s="10">
        <v>786.75</v>
      </c>
    </row>
    <row r="79" spans="1:7" hidden="1" x14ac:dyDescent="0.3">
      <c r="A79" s="1" t="str">
        <f t="shared" si="1"/>
        <v>E♭ Alto Saxophone fortissimo</v>
      </c>
      <c r="B79" s="1" t="s">
        <v>7</v>
      </c>
      <c r="C79" s="1">
        <v>9615</v>
      </c>
      <c r="D79" s="1">
        <v>830.61</v>
      </c>
      <c r="F79" s="10">
        <v>831.09</v>
      </c>
      <c r="G79" s="10">
        <v>823.32</v>
      </c>
    </row>
    <row r="80" spans="1:7" hidden="1" x14ac:dyDescent="0.3">
      <c r="A80" s="1" t="s">
        <v>102</v>
      </c>
      <c r="B80" s="1" t="s">
        <v>27</v>
      </c>
      <c r="C80" s="1">
        <v>9615</v>
      </c>
      <c r="D80" s="1">
        <v>164.81</v>
      </c>
      <c r="G80" s="10">
        <v>164.97</v>
      </c>
    </row>
    <row r="81" spans="1:7" hidden="1" x14ac:dyDescent="0.3">
      <c r="A81" s="1" t="str">
        <f t="shared" si="1"/>
        <v>B♭ Trumpet fortissimo</v>
      </c>
      <c r="B81" s="1" t="s">
        <v>35</v>
      </c>
      <c r="C81" s="1">
        <v>9615</v>
      </c>
      <c r="D81" s="1">
        <v>174.61</v>
      </c>
      <c r="F81" s="10">
        <v>173.07</v>
      </c>
      <c r="G81" s="10">
        <v>172.35</v>
      </c>
    </row>
    <row r="82" spans="1:7" hidden="1" x14ac:dyDescent="0.3">
      <c r="A82" s="1" t="str">
        <f t="shared" si="1"/>
        <v>B♭ Trumpet fortissimo</v>
      </c>
      <c r="B82" s="1" t="s">
        <v>43</v>
      </c>
      <c r="C82" s="1">
        <v>9615</v>
      </c>
      <c r="D82" s="1">
        <v>185</v>
      </c>
      <c r="F82" s="10">
        <v>183.31</v>
      </c>
      <c r="G82" s="10">
        <v>183.27</v>
      </c>
    </row>
    <row r="83" spans="1:7" hidden="1" x14ac:dyDescent="0.3">
      <c r="A83" s="1" t="str">
        <f t="shared" si="1"/>
        <v>B♭ Trumpet fortissimo</v>
      </c>
      <c r="B83" s="1" t="s">
        <v>39</v>
      </c>
      <c r="C83" s="1">
        <v>9615</v>
      </c>
      <c r="D83" s="1">
        <v>196</v>
      </c>
      <c r="G83" s="10">
        <v>194.39</v>
      </c>
    </row>
    <row r="84" spans="1:7" hidden="1" x14ac:dyDescent="0.3">
      <c r="A84" s="1" t="str">
        <f t="shared" si="1"/>
        <v>B♭ Trumpet fortissimo</v>
      </c>
      <c r="B84" s="1" t="s">
        <v>5</v>
      </c>
      <c r="C84" s="1">
        <v>9615</v>
      </c>
      <c r="D84" s="1">
        <v>207.65</v>
      </c>
      <c r="F84" s="10">
        <v>205.73</v>
      </c>
      <c r="G84" s="10">
        <v>205.05</v>
      </c>
    </row>
    <row r="85" spans="1:7" hidden="1" x14ac:dyDescent="0.3">
      <c r="A85" s="1" t="str">
        <f t="shared" si="1"/>
        <v>B♭ Trumpet fortissimo</v>
      </c>
      <c r="B85" s="1" t="s">
        <v>1</v>
      </c>
      <c r="C85" s="1">
        <v>9615</v>
      </c>
      <c r="D85" s="1">
        <v>220</v>
      </c>
      <c r="F85" s="10">
        <v>218.61</v>
      </c>
      <c r="G85" s="10">
        <v>218.18</v>
      </c>
    </row>
    <row r="86" spans="1:7" hidden="1" x14ac:dyDescent="0.3">
      <c r="A86" s="1" t="str">
        <f t="shared" si="1"/>
        <v>B♭ Trumpet fortissimo</v>
      </c>
      <c r="B86" s="1" t="s">
        <v>13</v>
      </c>
      <c r="C86" s="1">
        <v>9615</v>
      </c>
      <c r="D86" s="1">
        <v>233.08</v>
      </c>
      <c r="F86" s="10">
        <v>231.48</v>
      </c>
      <c r="G86" s="10">
        <v>230.39</v>
      </c>
    </row>
    <row r="87" spans="1:7" hidden="1" x14ac:dyDescent="0.3">
      <c r="A87" s="1" t="str">
        <f t="shared" si="1"/>
        <v>B♭ Trumpet fortissimo</v>
      </c>
      <c r="B87" s="1" t="s">
        <v>9</v>
      </c>
      <c r="C87" s="1">
        <v>9615</v>
      </c>
      <c r="D87" s="1">
        <v>246.94</v>
      </c>
      <c r="F87" s="10">
        <v>247.38</v>
      </c>
      <c r="G87" s="10">
        <v>246.78</v>
      </c>
    </row>
    <row r="88" spans="1:7" hidden="1" x14ac:dyDescent="0.3">
      <c r="A88" s="1" t="str">
        <f t="shared" si="1"/>
        <v>B♭ Trumpet fortissimo</v>
      </c>
      <c r="B88" s="1" t="s">
        <v>17</v>
      </c>
      <c r="C88" s="1">
        <v>9615</v>
      </c>
      <c r="D88" s="1">
        <v>261.63</v>
      </c>
      <c r="F88" s="10">
        <v>263.04000000000002</v>
      </c>
      <c r="G88" s="10">
        <v>261.79000000000002</v>
      </c>
    </row>
    <row r="89" spans="1:7" hidden="1" x14ac:dyDescent="0.3">
      <c r="A89" s="1" t="str">
        <f t="shared" si="1"/>
        <v>B♭ Trumpet fortissimo</v>
      </c>
      <c r="B89" s="1" t="s">
        <v>24</v>
      </c>
      <c r="C89" s="1">
        <v>9615</v>
      </c>
      <c r="D89" s="1">
        <v>277.18</v>
      </c>
      <c r="F89" s="10">
        <v>276.63</v>
      </c>
      <c r="G89" s="10">
        <v>275.83999999999997</v>
      </c>
    </row>
    <row r="90" spans="1:7" hidden="1" x14ac:dyDescent="0.3">
      <c r="A90" s="1" t="str">
        <f t="shared" si="1"/>
        <v>B♭ Trumpet fortissimo</v>
      </c>
      <c r="B90" s="1" t="s">
        <v>21</v>
      </c>
      <c r="C90" s="1">
        <v>9615</v>
      </c>
      <c r="D90" s="1">
        <v>293.66000000000003</v>
      </c>
      <c r="F90" s="10">
        <v>295.10000000000002</v>
      </c>
      <c r="G90" s="10">
        <v>293.85000000000002</v>
      </c>
    </row>
    <row r="91" spans="1:7" hidden="1" x14ac:dyDescent="0.3">
      <c r="A91" s="1" t="str">
        <f t="shared" si="1"/>
        <v>B♭ Trumpet fortissimo</v>
      </c>
      <c r="B91" s="1" t="s">
        <v>32</v>
      </c>
      <c r="C91" s="1">
        <v>9615</v>
      </c>
      <c r="D91" s="1">
        <v>311.13</v>
      </c>
      <c r="F91" s="10">
        <v>310.60000000000002</v>
      </c>
      <c r="G91" s="10">
        <v>310.11</v>
      </c>
    </row>
    <row r="92" spans="1:7" hidden="1" x14ac:dyDescent="0.3">
      <c r="A92" s="1" t="str">
        <f t="shared" si="1"/>
        <v>B♭ Trumpet fortissimo</v>
      </c>
      <c r="B92" s="1" t="s">
        <v>28</v>
      </c>
      <c r="C92" s="1">
        <v>9615</v>
      </c>
      <c r="D92" s="1">
        <v>329.63</v>
      </c>
      <c r="F92" s="10">
        <v>329.53</v>
      </c>
      <c r="G92" s="10">
        <v>329.28</v>
      </c>
    </row>
    <row r="93" spans="1:7" hidden="1" x14ac:dyDescent="0.3">
      <c r="A93" s="1" t="str">
        <f t="shared" si="1"/>
        <v>B♭ Trumpet fortissimo</v>
      </c>
      <c r="B93" s="1" t="s">
        <v>36</v>
      </c>
      <c r="C93" s="1">
        <v>9615</v>
      </c>
      <c r="D93" s="1">
        <v>349.23</v>
      </c>
      <c r="F93" s="10">
        <v>348.06</v>
      </c>
      <c r="G93" s="10">
        <v>346.7</v>
      </c>
    </row>
    <row r="94" spans="1:7" hidden="1" x14ac:dyDescent="0.3">
      <c r="A94" s="1" t="str">
        <f t="shared" si="1"/>
        <v>B♭ Trumpet fortissimo</v>
      </c>
      <c r="B94" s="1" t="s">
        <v>44</v>
      </c>
      <c r="C94" s="1">
        <v>9615</v>
      </c>
      <c r="D94" s="1">
        <v>369.99</v>
      </c>
      <c r="F94" s="10">
        <v>370.04</v>
      </c>
      <c r="G94" s="10">
        <v>369.49</v>
      </c>
    </row>
    <row r="95" spans="1:7" hidden="1" x14ac:dyDescent="0.3">
      <c r="A95" s="1" t="str">
        <f t="shared" si="1"/>
        <v>B♭ Trumpet fortissimo</v>
      </c>
      <c r="B95" s="1" t="s">
        <v>40</v>
      </c>
      <c r="C95" s="1">
        <v>9615</v>
      </c>
      <c r="D95" s="1">
        <v>392</v>
      </c>
      <c r="F95" s="10">
        <v>393.43</v>
      </c>
      <c r="G95" s="10">
        <v>393.3</v>
      </c>
    </row>
    <row r="96" spans="1:7" hidden="1" x14ac:dyDescent="0.3">
      <c r="A96" s="1" t="str">
        <f t="shared" si="1"/>
        <v>B♭ Trumpet fortissimo</v>
      </c>
      <c r="B96" s="1" t="s">
        <v>6</v>
      </c>
      <c r="C96" s="1">
        <v>9615</v>
      </c>
      <c r="D96" s="1">
        <v>415.3</v>
      </c>
      <c r="F96" s="10">
        <v>414.4</v>
      </c>
      <c r="G96" s="10">
        <v>414.06</v>
      </c>
    </row>
    <row r="97" spans="1:7" hidden="1" x14ac:dyDescent="0.3">
      <c r="A97" s="1" t="str">
        <f t="shared" si="1"/>
        <v>B♭ Trumpet fortissimo</v>
      </c>
      <c r="B97" s="1" t="s">
        <v>2</v>
      </c>
      <c r="C97" s="1">
        <v>9615</v>
      </c>
      <c r="D97" s="1">
        <v>440</v>
      </c>
      <c r="F97" s="10">
        <v>441.43</v>
      </c>
      <c r="G97" s="10">
        <v>440.13</v>
      </c>
    </row>
    <row r="98" spans="1:7" hidden="1" x14ac:dyDescent="0.3">
      <c r="A98" s="1" t="str">
        <f t="shared" si="1"/>
        <v>B♭ Trumpet fortissimo</v>
      </c>
      <c r="B98" s="1" t="s">
        <v>14</v>
      </c>
      <c r="C98" s="1">
        <v>9615</v>
      </c>
      <c r="D98" s="1">
        <v>466.16</v>
      </c>
      <c r="F98" s="10">
        <v>467.7</v>
      </c>
      <c r="G98" s="10">
        <v>465.56</v>
      </c>
    </row>
    <row r="99" spans="1:7" hidden="1" x14ac:dyDescent="0.3">
      <c r="A99" s="1" t="str">
        <f t="shared" si="1"/>
        <v>B♭ Trumpet fortissimo</v>
      </c>
      <c r="B99" s="1" t="s">
        <v>10</v>
      </c>
      <c r="C99" s="1">
        <v>9615</v>
      </c>
      <c r="D99" s="1">
        <v>493.88</v>
      </c>
      <c r="F99" s="10">
        <v>497.3</v>
      </c>
      <c r="G99" s="10">
        <v>497.11</v>
      </c>
    </row>
    <row r="100" spans="1:7" hidden="1" x14ac:dyDescent="0.3">
      <c r="A100" s="1" t="str">
        <f t="shared" si="1"/>
        <v>B♭ Trumpet fortissimo</v>
      </c>
      <c r="B100" s="1" t="s">
        <v>18</v>
      </c>
      <c r="C100" s="1">
        <v>9615</v>
      </c>
      <c r="D100" s="1">
        <v>523.25</v>
      </c>
      <c r="F100" s="10">
        <v>526.67999999999995</v>
      </c>
      <c r="G100" s="10">
        <v>526.39</v>
      </c>
    </row>
    <row r="101" spans="1:7" hidden="1" x14ac:dyDescent="0.3">
      <c r="A101" s="1" t="str">
        <f t="shared" si="1"/>
        <v>B♭ Trumpet fortissimo</v>
      </c>
      <c r="B101" s="1" t="s">
        <v>25</v>
      </c>
      <c r="C101" s="1">
        <v>9615</v>
      </c>
      <c r="D101" s="1">
        <v>554.37</v>
      </c>
      <c r="F101" s="10">
        <v>555.78</v>
      </c>
      <c r="G101" s="10">
        <v>555.49</v>
      </c>
    </row>
    <row r="102" spans="1:7" hidden="1" x14ac:dyDescent="0.3">
      <c r="A102" s="1" t="str">
        <f t="shared" si="1"/>
        <v>B♭ Trumpet fortissimo</v>
      </c>
      <c r="B102" s="1" t="s">
        <v>22</v>
      </c>
      <c r="C102" s="1">
        <v>9615</v>
      </c>
      <c r="D102" s="1">
        <v>587.33000000000004</v>
      </c>
      <c r="F102" s="10">
        <v>593.41</v>
      </c>
      <c r="G102" s="10">
        <v>593.03</v>
      </c>
    </row>
    <row r="103" spans="1:7" hidden="1" x14ac:dyDescent="0.3">
      <c r="A103" s="1" t="str">
        <f t="shared" si="1"/>
        <v>B♭ Trumpet fortissimo</v>
      </c>
      <c r="B103" s="1" t="s">
        <v>33</v>
      </c>
      <c r="C103" s="1">
        <v>9615</v>
      </c>
      <c r="D103" s="1">
        <v>622.25</v>
      </c>
      <c r="F103" s="10">
        <v>633.69000000000005</v>
      </c>
      <c r="G103" s="10">
        <v>633.21</v>
      </c>
    </row>
    <row r="104" spans="1:7" hidden="1" x14ac:dyDescent="0.3">
      <c r="A104" s="1" t="str">
        <f t="shared" si="1"/>
        <v>B♭ Trumpet fortissimo</v>
      </c>
      <c r="B104" s="1" t="s">
        <v>29</v>
      </c>
      <c r="C104" s="1">
        <v>9615</v>
      </c>
      <c r="D104" s="1">
        <v>659.26</v>
      </c>
      <c r="F104" s="10">
        <v>663.49</v>
      </c>
      <c r="G104" s="10">
        <v>663.23</v>
      </c>
    </row>
    <row r="105" spans="1:7" hidden="1" x14ac:dyDescent="0.3">
      <c r="A105" s="1" t="str">
        <f t="shared" si="1"/>
        <v>B♭ Trumpet fortissimo</v>
      </c>
      <c r="B105" s="1" t="s">
        <v>37</v>
      </c>
      <c r="C105" s="1">
        <v>9615</v>
      </c>
      <c r="D105" s="1">
        <v>698.46</v>
      </c>
      <c r="F105" s="10">
        <v>702.47</v>
      </c>
      <c r="G105" s="10">
        <v>700.11</v>
      </c>
    </row>
    <row r="106" spans="1:7" hidden="1" x14ac:dyDescent="0.3">
      <c r="A106" s="1" t="str">
        <f t="shared" si="1"/>
        <v>B♭ Trumpet fortissimo</v>
      </c>
      <c r="B106" s="1" t="s">
        <v>45</v>
      </c>
      <c r="C106" s="1">
        <v>9615</v>
      </c>
      <c r="D106" s="1">
        <v>739.99</v>
      </c>
      <c r="F106" s="10">
        <v>742.01</v>
      </c>
      <c r="G106" s="10">
        <v>741.09</v>
      </c>
    </row>
    <row r="107" spans="1:7" hidden="1" x14ac:dyDescent="0.3">
      <c r="A107" s="1" t="str">
        <f t="shared" si="1"/>
        <v>B♭ Trumpet fortissimo</v>
      </c>
      <c r="B107" s="1" t="s">
        <v>41</v>
      </c>
      <c r="C107" s="1">
        <v>9615</v>
      </c>
      <c r="D107" s="1">
        <v>783.99</v>
      </c>
      <c r="F107" s="10">
        <v>790.59</v>
      </c>
      <c r="G107" s="10">
        <v>790.15</v>
      </c>
    </row>
    <row r="108" spans="1:7" hidden="1" x14ac:dyDescent="0.3">
      <c r="A108" s="1" t="str">
        <f t="shared" si="1"/>
        <v>B♭ Trumpet fortissimo</v>
      </c>
      <c r="B108" s="1" t="s">
        <v>7</v>
      </c>
      <c r="C108" s="1">
        <v>9615</v>
      </c>
      <c r="D108" s="1">
        <v>830.61</v>
      </c>
      <c r="F108" s="10">
        <v>833.92</v>
      </c>
      <c r="G108" s="10">
        <v>830.06</v>
      </c>
    </row>
    <row r="109" spans="1:7" hidden="1" x14ac:dyDescent="0.3">
      <c r="A109" s="1" t="str">
        <f t="shared" si="1"/>
        <v>B♭ Trumpet fortissimo</v>
      </c>
      <c r="B109" s="1" t="s">
        <v>3</v>
      </c>
      <c r="C109" s="1">
        <v>9615</v>
      </c>
      <c r="D109" s="1">
        <v>880</v>
      </c>
      <c r="F109" s="10">
        <v>879.17</v>
      </c>
      <c r="G109" s="10">
        <v>877.95</v>
      </c>
    </row>
    <row r="110" spans="1:7" hidden="1" x14ac:dyDescent="0.3">
      <c r="A110" s="1" t="str">
        <f t="shared" si="1"/>
        <v>B♭ Trumpet fortissimo</v>
      </c>
      <c r="B110" s="1" t="s">
        <v>15</v>
      </c>
      <c r="C110" s="1">
        <v>9615</v>
      </c>
      <c r="D110" s="1">
        <v>932.33</v>
      </c>
      <c r="F110" s="10">
        <v>936.69</v>
      </c>
      <c r="G110" s="10">
        <v>936.23</v>
      </c>
    </row>
    <row r="111" spans="1:7" hidden="1" x14ac:dyDescent="0.3">
      <c r="A111" s="1" t="str">
        <f t="shared" si="1"/>
        <v>B♭ Trumpet fortissimo</v>
      </c>
      <c r="B111" s="1" t="s">
        <v>11</v>
      </c>
      <c r="C111" s="1">
        <v>9615</v>
      </c>
      <c r="D111" s="1">
        <v>987.77</v>
      </c>
      <c r="F111" s="10">
        <v>991.65</v>
      </c>
      <c r="G111" s="10">
        <v>988.56</v>
      </c>
    </row>
    <row r="112" spans="1:7" hidden="1" x14ac:dyDescent="0.3">
      <c r="A112" s="1" t="str">
        <f t="shared" si="1"/>
        <v>B♭ Trumpet fortissimo</v>
      </c>
      <c r="B112" s="1" t="s">
        <v>19</v>
      </c>
      <c r="C112" s="1">
        <v>9615</v>
      </c>
      <c r="D112" s="1">
        <v>1046.5</v>
      </c>
      <c r="F112" s="10">
        <v>1051.8499999999999</v>
      </c>
      <c r="G112" s="10">
        <v>1050.78</v>
      </c>
    </row>
    <row r="113" spans="1:11" hidden="1" x14ac:dyDescent="0.3">
      <c r="A113" s="1" t="str">
        <f t="shared" si="1"/>
        <v>B♭ Trumpet fortissimo</v>
      </c>
      <c r="B113" s="1" t="s">
        <v>26</v>
      </c>
      <c r="C113" s="1">
        <v>9615</v>
      </c>
      <c r="D113" s="1">
        <v>1108.73</v>
      </c>
      <c r="F113" s="10">
        <v>1102.0899999999999</v>
      </c>
      <c r="G113" s="10">
        <v>1097.6199999999999</v>
      </c>
    </row>
    <row r="114" spans="1:11" hidden="1" x14ac:dyDescent="0.3">
      <c r="A114" s="1" t="str">
        <f t="shared" ref="A114:A115" si="2">A113</f>
        <v>B♭ Trumpet fortissimo</v>
      </c>
      <c r="B114" s="1" t="s">
        <v>23</v>
      </c>
      <c r="C114" s="1">
        <v>9615</v>
      </c>
      <c r="D114" s="1">
        <v>1174.6600000000001</v>
      </c>
      <c r="F114" s="10">
        <v>1171.83</v>
      </c>
      <c r="G114" s="10">
        <v>1170.51</v>
      </c>
    </row>
    <row r="115" spans="1:11" hidden="1" x14ac:dyDescent="0.3">
      <c r="A115" s="1" t="str">
        <f t="shared" si="2"/>
        <v>B♭ Trumpet fortissimo</v>
      </c>
      <c r="B115" s="1" t="s">
        <v>34</v>
      </c>
      <c r="C115" s="1">
        <v>9615</v>
      </c>
      <c r="D115" s="1">
        <v>1244.51</v>
      </c>
      <c r="F115" s="10">
        <v>1243.8</v>
      </c>
      <c r="G115" s="10">
        <v>1238.47</v>
      </c>
    </row>
    <row r="116" spans="1:11" x14ac:dyDescent="0.3">
      <c r="A116" s="1" t="s">
        <v>91</v>
      </c>
      <c r="B116" s="1" t="s">
        <v>53</v>
      </c>
      <c r="C116" s="1">
        <v>9615</v>
      </c>
      <c r="D116" s="1">
        <v>30.87</v>
      </c>
      <c r="E116" s="2"/>
      <c r="F116" s="3"/>
      <c r="G116" s="3"/>
      <c r="H116" s="3"/>
      <c r="I116" s="3"/>
      <c r="J116" s="1"/>
      <c r="K116" s="1"/>
    </row>
    <row r="117" spans="1:11" x14ac:dyDescent="0.3">
      <c r="A117" s="1" t="str">
        <f>A116</f>
        <v>Piano mezzo-forte</v>
      </c>
      <c r="B117" s="1" t="s">
        <v>60</v>
      </c>
      <c r="C117" s="1">
        <v>9615</v>
      </c>
      <c r="D117" s="1">
        <v>32.700000000000003</v>
      </c>
      <c r="E117" s="2"/>
      <c r="F117" s="3"/>
      <c r="G117" s="3"/>
      <c r="H117" s="3"/>
      <c r="I117" s="3"/>
      <c r="J117" s="1"/>
      <c r="K117" s="1"/>
    </row>
    <row r="118" spans="1:11" x14ac:dyDescent="0.3">
      <c r="A118" s="1" t="str">
        <f t="shared" ref="A118:A181" si="3">A117</f>
        <v>Piano mezzo-forte</v>
      </c>
      <c r="B118" s="1" t="s">
        <v>69</v>
      </c>
      <c r="C118" s="1">
        <v>9615</v>
      </c>
      <c r="D118" s="1">
        <v>34.65</v>
      </c>
      <c r="E118" s="2"/>
      <c r="F118" s="3"/>
      <c r="G118" s="3"/>
      <c r="H118" s="3"/>
      <c r="I118" s="3"/>
      <c r="J118" s="1"/>
      <c r="K118" s="1"/>
    </row>
    <row r="119" spans="1:11" x14ac:dyDescent="0.3">
      <c r="A119" s="1" t="str">
        <f t="shared" si="3"/>
        <v>Piano mezzo-forte</v>
      </c>
      <c r="B119" s="1" t="s">
        <v>65</v>
      </c>
      <c r="C119" s="1">
        <v>9615</v>
      </c>
      <c r="D119" s="1">
        <v>36.71</v>
      </c>
      <c r="E119" s="2"/>
      <c r="F119" s="3"/>
      <c r="G119" s="3"/>
      <c r="H119" s="3"/>
      <c r="I119" s="3"/>
      <c r="J119" s="1"/>
      <c r="K119" s="1"/>
    </row>
    <row r="120" spans="1:11" x14ac:dyDescent="0.3">
      <c r="A120" s="1" t="str">
        <f t="shared" si="3"/>
        <v>Piano mezzo-forte</v>
      </c>
      <c r="B120" s="1" t="s">
        <v>31</v>
      </c>
      <c r="C120" s="1">
        <v>9615</v>
      </c>
      <c r="D120" s="1">
        <v>38.89</v>
      </c>
      <c r="E120" s="2"/>
      <c r="F120" s="3"/>
      <c r="G120" s="3"/>
      <c r="H120" s="3"/>
      <c r="I120" s="3"/>
      <c r="J120" s="1"/>
      <c r="K120" s="1"/>
    </row>
    <row r="121" spans="1:11" x14ac:dyDescent="0.3">
      <c r="A121" s="1" t="str">
        <f t="shared" si="3"/>
        <v>Piano mezzo-forte</v>
      </c>
      <c r="B121" s="1" t="s">
        <v>72</v>
      </c>
      <c r="C121" s="1">
        <v>9615</v>
      </c>
      <c r="D121" s="1">
        <v>41.2</v>
      </c>
      <c r="E121" s="2"/>
      <c r="F121" s="3"/>
      <c r="G121" s="3"/>
      <c r="H121" s="3"/>
      <c r="I121" s="3"/>
      <c r="J121" s="1"/>
      <c r="K121" s="1"/>
    </row>
    <row r="122" spans="1:11" x14ac:dyDescent="0.3">
      <c r="A122" s="1" t="str">
        <f t="shared" si="3"/>
        <v>Piano mezzo-forte</v>
      </c>
      <c r="B122" s="1" t="s">
        <v>78</v>
      </c>
      <c r="C122" s="1">
        <v>9615</v>
      </c>
      <c r="D122" s="1">
        <v>43.65</v>
      </c>
      <c r="E122" s="2"/>
      <c r="F122" s="3"/>
      <c r="G122" s="3"/>
      <c r="H122" s="3"/>
      <c r="I122" s="3"/>
      <c r="J122" s="1"/>
      <c r="K122" s="1"/>
    </row>
    <row r="123" spans="1:11" x14ac:dyDescent="0.3">
      <c r="A123" s="1" t="str">
        <f t="shared" si="3"/>
        <v>Piano mezzo-forte</v>
      </c>
      <c r="B123" s="1" t="s">
        <v>84</v>
      </c>
      <c r="C123" s="1">
        <v>9615</v>
      </c>
      <c r="D123" s="1">
        <v>46.25</v>
      </c>
      <c r="E123" s="2"/>
      <c r="F123" s="3"/>
      <c r="G123" s="3"/>
      <c r="H123" s="3"/>
      <c r="I123" s="3"/>
      <c r="J123" s="1"/>
      <c r="K123" s="1"/>
    </row>
    <row r="124" spans="1:11" x14ac:dyDescent="0.3">
      <c r="A124" s="1" t="str">
        <f t="shared" si="3"/>
        <v>Piano mezzo-forte</v>
      </c>
      <c r="B124" s="1" t="s">
        <v>81</v>
      </c>
      <c r="C124" s="1">
        <v>9615</v>
      </c>
      <c r="D124" s="1">
        <v>49</v>
      </c>
      <c r="E124" s="2"/>
      <c r="F124" s="3"/>
      <c r="G124" s="3"/>
      <c r="H124" s="3"/>
      <c r="I124" s="3"/>
      <c r="J124" s="1"/>
      <c r="K124" s="1"/>
    </row>
    <row r="125" spans="1:11" x14ac:dyDescent="0.3">
      <c r="A125" s="1" t="str">
        <f t="shared" si="3"/>
        <v>Piano mezzo-forte</v>
      </c>
      <c r="B125" s="1" t="s">
        <v>50</v>
      </c>
      <c r="C125" s="1">
        <v>9615</v>
      </c>
      <c r="D125" s="1">
        <v>51.91</v>
      </c>
      <c r="E125" s="2"/>
      <c r="F125" s="3"/>
      <c r="G125" s="3"/>
      <c r="H125" s="3"/>
      <c r="I125" s="3"/>
      <c r="J125" s="1"/>
      <c r="K125" s="1"/>
    </row>
    <row r="126" spans="1:11" x14ac:dyDescent="0.3">
      <c r="A126" s="1" t="str">
        <f t="shared" si="3"/>
        <v>Piano mezzo-forte</v>
      </c>
      <c r="B126" s="1" t="s">
        <v>47</v>
      </c>
      <c r="C126" s="1">
        <v>9615</v>
      </c>
      <c r="D126" s="1">
        <v>55</v>
      </c>
      <c r="E126" s="2"/>
      <c r="F126" s="3"/>
      <c r="G126" s="3"/>
      <c r="H126" s="3"/>
      <c r="I126" s="3"/>
      <c r="J126" s="1"/>
      <c r="K126" s="1"/>
    </row>
    <row r="127" spans="1:11" x14ac:dyDescent="0.3">
      <c r="A127" s="1" t="str">
        <f t="shared" si="3"/>
        <v>Piano mezzo-forte</v>
      </c>
      <c r="B127" s="1" t="s">
        <v>57</v>
      </c>
      <c r="C127" s="1">
        <v>9615</v>
      </c>
      <c r="D127" s="1">
        <v>58.27</v>
      </c>
      <c r="E127" s="2"/>
      <c r="F127" s="3"/>
      <c r="G127" s="3"/>
      <c r="H127" s="3"/>
      <c r="I127" s="3"/>
      <c r="J127" s="1"/>
      <c r="K127" s="1"/>
    </row>
    <row r="128" spans="1:11" x14ac:dyDescent="0.3">
      <c r="A128" s="1" t="str">
        <f t="shared" si="3"/>
        <v>Piano mezzo-forte</v>
      </c>
      <c r="B128" s="1" t="s">
        <v>54</v>
      </c>
      <c r="C128" s="1">
        <v>9615</v>
      </c>
      <c r="D128" s="1">
        <v>61.74</v>
      </c>
      <c r="E128" s="2"/>
      <c r="F128" s="3"/>
      <c r="G128" s="3"/>
      <c r="H128" s="3"/>
      <c r="I128" s="3"/>
      <c r="J128" s="1"/>
      <c r="K128" s="1"/>
    </row>
    <row r="129" spans="1:11" x14ac:dyDescent="0.3">
      <c r="A129" s="1" t="str">
        <f t="shared" si="3"/>
        <v>Piano mezzo-forte</v>
      </c>
      <c r="B129" s="1" t="s">
        <v>61</v>
      </c>
      <c r="C129" s="1">
        <v>9615</v>
      </c>
      <c r="D129" s="1">
        <v>65.41</v>
      </c>
      <c r="E129" s="2"/>
      <c r="F129" s="3"/>
      <c r="G129" s="3"/>
      <c r="H129" s="3"/>
      <c r="I129" s="3"/>
      <c r="J129" s="1"/>
      <c r="K129" s="1"/>
    </row>
    <row r="130" spans="1:11" x14ac:dyDescent="0.3">
      <c r="A130" s="1" t="str">
        <f t="shared" si="3"/>
        <v>Piano mezzo-forte</v>
      </c>
      <c r="B130" s="1" t="s">
        <v>70</v>
      </c>
      <c r="C130" s="1">
        <v>9615</v>
      </c>
      <c r="D130" s="1">
        <v>69.3</v>
      </c>
      <c r="E130" s="2"/>
      <c r="F130" s="3"/>
      <c r="G130" s="3"/>
      <c r="H130" s="3"/>
      <c r="I130" s="3"/>
      <c r="J130" s="1"/>
      <c r="K130" s="1"/>
    </row>
    <row r="131" spans="1:11" x14ac:dyDescent="0.3">
      <c r="A131" s="1" t="str">
        <f t="shared" si="3"/>
        <v>Piano mezzo-forte</v>
      </c>
      <c r="B131" s="1" t="s">
        <v>66</v>
      </c>
      <c r="C131" s="1">
        <v>9615</v>
      </c>
      <c r="D131" s="1">
        <v>73.42</v>
      </c>
      <c r="E131" s="2"/>
      <c r="F131" s="3"/>
      <c r="G131" s="3"/>
      <c r="H131" s="3"/>
      <c r="I131" s="3"/>
      <c r="J131" s="1"/>
      <c r="K131" s="1"/>
    </row>
    <row r="132" spans="1:11" x14ac:dyDescent="0.3">
      <c r="A132" s="1" t="str">
        <f t="shared" si="3"/>
        <v>Piano mezzo-forte</v>
      </c>
      <c r="B132" s="1" t="s">
        <v>75</v>
      </c>
      <c r="C132" s="1">
        <v>9615</v>
      </c>
      <c r="D132" s="1">
        <v>77.78</v>
      </c>
      <c r="E132" s="2"/>
      <c r="F132" s="3"/>
      <c r="G132" s="3"/>
      <c r="H132" s="3"/>
      <c r="I132" s="3"/>
      <c r="J132" s="1"/>
      <c r="K132" s="1"/>
    </row>
    <row r="133" spans="1:11" x14ac:dyDescent="0.3">
      <c r="A133" s="1" t="str">
        <f t="shared" si="3"/>
        <v>Piano mezzo-forte</v>
      </c>
      <c r="B133" s="1" t="s">
        <v>73</v>
      </c>
      <c r="C133" s="1">
        <v>9615</v>
      </c>
      <c r="D133" s="1">
        <v>82.41</v>
      </c>
      <c r="E133" s="2"/>
      <c r="F133" s="3"/>
      <c r="G133" s="3"/>
      <c r="H133" s="3"/>
      <c r="I133" s="3"/>
      <c r="J133" s="1"/>
      <c r="K133" s="1"/>
    </row>
    <row r="134" spans="1:11" x14ac:dyDescent="0.3">
      <c r="A134" s="1" t="str">
        <f t="shared" si="3"/>
        <v>Piano mezzo-forte</v>
      </c>
      <c r="B134" s="1" t="s">
        <v>79</v>
      </c>
      <c r="C134" s="1">
        <v>9615</v>
      </c>
      <c r="D134" s="1">
        <v>87.31</v>
      </c>
      <c r="E134" s="2"/>
      <c r="F134" s="3"/>
      <c r="G134" s="3"/>
      <c r="H134" s="3"/>
      <c r="I134" s="3"/>
      <c r="J134" s="1"/>
      <c r="K134" s="1"/>
    </row>
    <row r="135" spans="1:11" x14ac:dyDescent="0.3">
      <c r="A135" s="1" t="str">
        <f t="shared" si="3"/>
        <v>Piano mezzo-forte</v>
      </c>
      <c r="B135" s="1" t="s">
        <v>85</v>
      </c>
      <c r="C135" s="1">
        <v>9615</v>
      </c>
      <c r="D135" s="1">
        <v>92.5</v>
      </c>
      <c r="E135" s="2"/>
      <c r="F135" s="3"/>
      <c r="G135" s="3"/>
      <c r="H135" s="3"/>
      <c r="I135" s="3"/>
      <c r="J135" s="1"/>
      <c r="K135" s="1"/>
    </row>
    <row r="136" spans="1:11" x14ac:dyDescent="0.3">
      <c r="A136" s="1" t="str">
        <f t="shared" si="3"/>
        <v>Piano mezzo-forte</v>
      </c>
      <c r="B136" s="1" t="s">
        <v>82</v>
      </c>
      <c r="C136" s="1">
        <v>9615</v>
      </c>
      <c r="D136" s="1">
        <v>98</v>
      </c>
      <c r="E136" s="2"/>
      <c r="F136" s="3"/>
      <c r="G136" s="3">
        <v>97.79</v>
      </c>
      <c r="H136" s="3"/>
      <c r="I136" s="3"/>
      <c r="J136" s="1"/>
      <c r="K136" s="1"/>
    </row>
    <row r="137" spans="1:11" x14ac:dyDescent="0.3">
      <c r="A137" s="1" t="str">
        <f t="shared" si="3"/>
        <v>Piano mezzo-forte</v>
      </c>
      <c r="B137" s="1" t="s">
        <v>51</v>
      </c>
      <c r="C137" s="1">
        <v>9615</v>
      </c>
      <c r="D137" s="1">
        <v>103.83</v>
      </c>
      <c r="E137" s="2"/>
      <c r="F137" s="3"/>
      <c r="G137" s="3">
        <v>103.97</v>
      </c>
      <c r="H137" s="3"/>
      <c r="I137" s="3"/>
      <c r="J137" s="1"/>
      <c r="K137" s="1"/>
    </row>
    <row r="138" spans="1:11" x14ac:dyDescent="0.3">
      <c r="A138" s="1" t="str">
        <f t="shared" si="3"/>
        <v>Piano mezzo-forte</v>
      </c>
      <c r="B138" s="1" t="s">
        <v>48</v>
      </c>
      <c r="C138" s="1">
        <v>9615</v>
      </c>
      <c r="D138" s="1">
        <v>110</v>
      </c>
      <c r="E138" s="2"/>
      <c r="F138" s="3"/>
      <c r="G138" s="3">
        <v>109.95</v>
      </c>
      <c r="H138" s="3"/>
      <c r="I138" s="3"/>
      <c r="J138" s="1"/>
      <c r="K138" s="1"/>
    </row>
    <row r="139" spans="1:11" x14ac:dyDescent="0.3">
      <c r="A139" s="1" t="str">
        <f t="shared" si="3"/>
        <v>Piano mezzo-forte</v>
      </c>
      <c r="B139" s="1" t="s">
        <v>58</v>
      </c>
      <c r="C139" s="1">
        <v>9615</v>
      </c>
      <c r="D139" s="1">
        <v>116.54</v>
      </c>
      <c r="E139" s="2"/>
      <c r="F139" s="3"/>
      <c r="G139" s="3">
        <v>116.58</v>
      </c>
      <c r="H139" s="3"/>
      <c r="I139" s="3"/>
      <c r="J139" s="1"/>
      <c r="K139" s="1"/>
    </row>
    <row r="140" spans="1:11" x14ac:dyDescent="0.3">
      <c r="A140" s="1" t="str">
        <f t="shared" si="3"/>
        <v>Piano mezzo-forte</v>
      </c>
      <c r="B140" s="1" t="s">
        <v>55</v>
      </c>
      <c r="C140" s="1">
        <v>9615</v>
      </c>
      <c r="D140" s="1">
        <v>123.47</v>
      </c>
      <c r="E140" s="2"/>
      <c r="F140" s="3"/>
      <c r="G140" s="3">
        <v>122.64</v>
      </c>
      <c r="H140" s="3"/>
      <c r="I140" s="3"/>
      <c r="J140" s="1"/>
      <c r="K140" s="1"/>
    </row>
    <row r="141" spans="1:11" x14ac:dyDescent="0.3">
      <c r="A141" s="1" t="str">
        <f t="shared" si="3"/>
        <v>Piano mezzo-forte</v>
      </c>
      <c r="B141" s="1" t="s">
        <v>62</v>
      </c>
      <c r="C141" s="1">
        <v>9615</v>
      </c>
      <c r="D141" s="1">
        <v>130.81</v>
      </c>
      <c r="E141" s="2"/>
      <c r="F141" s="3"/>
      <c r="G141" s="3">
        <v>130.88</v>
      </c>
      <c r="H141" s="3"/>
      <c r="I141" s="3"/>
      <c r="J141" s="1"/>
      <c r="K141" s="1"/>
    </row>
    <row r="142" spans="1:11" x14ac:dyDescent="0.3">
      <c r="A142" s="1" t="str">
        <f t="shared" si="3"/>
        <v>Piano mezzo-forte</v>
      </c>
      <c r="B142" s="1" t="s">
        <v>71</v>
      </c>
      <c r="C142" s="1">
        <v>9615</v>
      </c>
      <c r="D142" s="1">
        <v>138.59</v>
      </c>
      <c r="E142" s="2"/>
      <c r="F142" s="3"/>
      <c r="G142" s="3">
        <v>138.68</v>
      </c>
      <c r="H142" s="3"/>
      <c r="I142" s="3"/>
      <c r="J142" s="1"/>
      <c r="K142" s="1"/>
    </row>
    <row r="143" spans="1:11" x14ac:dyDescent="0.3">
      <c r="A143" s="1" t="str">
        <f t="shared" si="3"/>
        <v>Piano mezzo-forte</v>
      </c>
      <c r="B143" s="1" t="s">
        <v>20</v>
      </c>
      <c r="C143" s="1">
        <v>9615</v>
      </c>
      <c r="D143" s="1">
        <v>146.83000000000001</v>
      </c>
      <c r="E143" s="2">
        <v>147.91999999999999</v>
      </c>
      <c r="F143" s="3">
        <v>147.43</v>
      </c>
      <c r="G143" s="3">
        <v>146.97</v>
      </c>
      <c r="H143" s="3"/>
      <c r="I143" s="3"/>
      <c r="J143" s="1"/>
      <c r="K143" s="1"/>
    </row>
    <row r="144" spans="1:11" x14ac:dyDescent="0.3">
      <c r="A144" s="1" t="str">
        <f t="shared" si="3"/>
        <v>Piano mezzo-forte</v>
      </c>
      <c r="B144" s="1" t="s">
        <v>76</v>
      </c>
      <c r="C144" s="1">
        <v>9615</v>
      </c>
      <c r="D144" s="1">
        <v>155.56</v>
      </c>
      <c r="E144" s="2">
        <v>157.62</v>
      </c>
      <c r="F144" s="3">
        <v>156.37</v>
      </c>
      <c r="G144" s="3">
        <v>154.57</v>
      </c>
      <c r="H144" s="3"/>
      <c r="I144" s="3"/>
      <c r="J144" s="1"/>
      <c r="K144" s="1"/>
    </row>
    <row r="145" spans="1:11" x14ac:dyDescent="0.3">
      <c r="A145" s="1" t="str">
        <f t="shared" si="3"/>
        <v>Piano mezzo-forte</v>
      </c>
      <c r="B145" s="1" t="s">
        <v>27</v>
      </c>
      <c r="C145" s="1">
        <v>9615</v>
      </c>
      <c r="D145" s="1">
        <v>164.81</v>
      </c>
      <c r="E145" s="2">
        <v>165.78</v>
      </c>
      <c r="F145" s="3">
        <v>166.19</v>
      </c>
      <c r="G145" s="3">
        <v>164.85</v>
      </c>
      <c r="H145" s="3"/>
      <c r="I145" s="3"/>
      <c r="J145" s="1"/>
      <c r="K145" s="1"/>
    </row>
    <row r="146" spans="1:11" x14ac:dyDescent="0.3">
      <c r="A146" s="1" t="str">
        <f t="shared" si="3"/>
        <v>Piano mezzo-forte</v>
      </c>
      <c r="B146" s="1" t="s">
        <v>35</v>
      </c>
      <c r="C146" s="1">
        <v>9615</v>
      </c>
      <c r="D146" s="1">
        <v>174.61</v>
      </c>
      <c r="E146" s="2">
        <v>174.82</v>
      </c>
      <c r="F146" s="3">
        <v>175.31</v>
      </c>
      <c r="G146" s="3">
        <v>173.67</v>
      </c>
      <c r="H146" s="3"/>
      <c r="I146" s="3"/>
      <c r="J146" s="1"/>
      <c r="K146" s="1"/>
    </row>
    <row r="147" spans="1:11" x14ac:dyDescent="0.3">
      <c r="A147" s="1" t="str">
        <f t="shared" si="3"/>
        <v>Piano mezzo-forte</v>
      </c>
      <c r="B147" s="1" t="s">
        <v>43</v>
      </c>
      <c r="C147" s="1">
        <v>9615</v>
      </c>
      <c r="D147" s="1">
        <v>185</v>
      </c>
      <c r="E147" s="2">
        <v>184.9</v>
      </c>
      <c r="F147" s="3">
        <v>185.98</v>
      </c>
      <c r="G147" s="3">
        <v>183.85</v>
      </c>
      <c r="H147" s="3"/>
      <c r="I147" s="3"/>
      <c r="J147" s="1"/>
      <c r="K147" s="1"/>
    </row>
    <row r="148" spans="1:11" x14ac:dyDescent="0.3">
      <c r="A148" s="1" t="str">
        <f t="shared" si="3"/>
        <v>Piano mezzo-forte</v>
      </c>
      <c r="B148" s="1" t="s">
        <v>39</v>
      </c>
      <c r="C148" s="1">
        <v>9615</v>
      </c>
      <c r="D148" s="1">
        <v>196</v>
      </c>
      <c r="E148" s="2">
        <v>196.22</v>
      </c>
      <c r="F148" s="3">
        <v>197.11</v>
      </c>
      <c r="G148" s="3">
        <v>195.34</v>
      </c>
      <c r="H148" s="3"/>
      <c r="I148" s="3"/>
      <c r="J148" s="1"/>
      <c r="K148" s="1"/>
    </row>
    <row r="149" spans="1:11" x14ac:dyDescent="0.3">
      <c r="A149" s="1" t="str">
        <f t="shared" si="3"/>
        <v>Piano mezzo-forte</v>
      </c>
      <c r="B149" s="1" t="s">
        <v>5</v>
      </c>
      <c r="C149" s="1">
        <v>9615</v>
      </c>
      <c r="D149" s="1">
        <v>207.65</v>
      </c>
      <c r="E149" s="2">
        <v>209.02</v>
      </c>
      <c r="F149" s="3">
        <v>209.17</v>
      </c>
      <c r="G149" s="3">
        <v>208.27</v>
      </c>
      <c r="H149" s="3"/>
      <c r="I149" s="3"/>
      <c r="J149" s="1"/>
      <c r="K149" s="1"/>
    </row>
    <row r="150" spans="1:11" x14ac:dyDescent="0.3">
      <c r="A150" s="1" t="str">
        <f t="shared" si="3"/>
        <v>Piano mezzo-forte</v>
      </c>
      <c r="B150" s="1" t="s">
        <v>1</v>
      </c>
      <c r="C150" s="1">
        <v>9615</v>
      </c>
      <c r="D150" s="1">
        <v>220</v>
      </c>
      <c r="E150" s="2">
        <v>223.6</v>
      </c>
      <c r="F150" s="3">
        <v>221.27</v>
      </c>
      <c r="G150" s="3">
        <v>221.05</v>
      </c>
      <c r="H150" s="3"/>
      <c r="I150" s="3"/>
      <c r="J150" s="1"/>
      <c r="K150" s="1"/>
    </row>
    <row r="151" spans="1:11" x14ac:dyDescent="0.3">
      <c r="A151" s="1" t="str">
        <f t="shared" si="3"/>
        <v>Piano mezzo-forte</v>
      </c>
      <c r="B151" s="1" t="s">
        <v>13</v>
      </c>
      <c r="C151" s="1">
        <v>9615</v>
      </c>
      <c r="D151" s="1">
        <v>233.08</v>
      </c>
      <c r="E151" s="2">
        <v>234.51</v>
      </c>
      <c r="F151" s="3">
        <v>235.83</v>
      </c>
      <c r="G151" s="3">
        <v>232.1</v>
      </c>
      <c r="H151" s="3"/>
      <c r="I151" s="3"/>
      <c r="J151" s="1"/>
      <c r="K151" s="1"/>
    </row>
    <row r="152" spans="1:11" x14ac:dyDescent="0.3">
      <c r="A152" s="1" t="str">
        <f t="shared" si="3"/>
        <v>Piano mezzo-forte</v>
      </c>
      <c r="B152" s="1" t="s">
        <v>9</v>
      </c>
      <c r="C152" s="1">
        <v>9615</v>
      </c>
      <c r="D152" s="1">
        <v>246.94</v>
      </c>
      <c r="E152" s="2">
        <v>246.54</v>
      </c>
      <c r="F152" s="3">
        <v>248.26</v>
      </c>
      <c r="G152" s="3">
        <v>244.94</v>
      </c>
      <c r="H152" s="3"/>
      <c r="I152" s="3"/>
      <c r="J152" s="1"/>
      <c r="K152" s="1"/>
    </row>
    <row r="153" spans="1:11" x14ac:dyDescent="0.3">
      <c r="A153" s="1" t="str">
        <f t="shared" si="3"/>
        <v>Piano mezzo-forte</v>
      </c>
      <c r="B153" s="1" t="s">
        <v>17</v>
      </c>
      <c r="C153" s="1">
        <v>9615</v>
      </c>
      <c r="D153" s="1">
        <v>261.63</v>
      </c>
      <c r="E153" s="2">
        <v>259.86</v>
      </c>
      <c r="F153" s="3">
        <v>262.94</v>
      </c>
      <c r="G153" s="3">
        <v>259.02</v>
      </c>
      <c r="H153" s="3"/>
      <c r="I153" s="3"/>
      <c r="J153" s="1"/>
      <c r="K153" s="1"/>
    </row>
    <row r="154" spans="1:11" x14ac:dyDescent="0.3">
      <c r="A154" s="1" t="str">
        <f t="shared" si="3"/>
        <v>Piano mezzo-forte</v>
      </c>
      <c r="B154" s="1" t="s">
        <v>24</v>
      </c>
      <c r="C154" s="1">
        <v>9615</v>
      </c>
      <c r="D154" s="1">
        <v>277.18</v>
      </c>
      <c r="E154" s="2">
        <v>282.79000000000002</v>
      </c>
      <c r="F154" s="3">
        <v>278.74</v>
      </c>
      <c r="G154" s="3">
        <v>273.51</v>
      </c>
      <c r="H154" s="3"/>
      <c r="I154" s="3"/>
      <c r="J154" s="1"/>
      <c r="K154" s="1"/>
    </row>
    <row r="155" spans="1:11" x14ac:dyDescent="0.3">
      <c r="A155" s="1" t="str">
        <f t="shared" si="3"/>
        <v>Piano mezzo-forte</v>
      </c>
      <c r="B155" s="1" t="s">
        <v>21</v>
      </c>
      <c r="C155" s="1">
        <v>9615</v>
      </c>
      <c r="D155" s="1">
        <v>293.66000000000003</v>
      </c>
      <c r="E155" s="2">
        <v>291.36</v>
      </c>
      <c r="F155" s="3">
        <v>294.99</v>
      </c>
      <c r="G155" s="3">
        <v>291.2</v>
      </c>
      <c r="H155" s="3"/>
      <c r="I155" s="3"/>
      <c r="J155" s="1"/>
      <c r="K155" s="1"/>
    </row>
    <row r="156" spans="1:11" x14ac:dyDescent="0.3">
      <c r="A156" s="1" t="str">
        <f t="shared" si="3"/>
        <v>Piano mezzo-forte</v>
      </c>
      <c r="B156" s="1" t="s">
        <v>32</v>
      </c>
      <c r="C156" s="1">
        <v>9615</v>
      </c>
      <c r="D156" s="1">
        <v>311.13</v>
      </c>
      <c r="E156" s="2">
        <v>310.16000000000003</v>
      </c>
      <c r="F156" s="3">
        <v>312.51</v>
      </c>
      <c r="G156" s="3">
        <v>310.12</v>
      </c>
      <c r="H156" s="3"/>
      <c r="I156" s="3"/>
      <c r="J156" s="1"/>
      <c r="K156" s="1"/>
    </row>
    <row r="157" spans="1:11" x14ac:dyDescent="0.3">
      <c r="A157" s="1" t="str">
        <f t="shared" si="3"/>
        <v>Piano mezzo-forte</v>
      </c>
      <c r="B157" s="1" t="s">
        <v>28</v>
      </c>
      <c r="C157" s="1">
        <v>9615</v>
      </c>
      <c r="D157" s="1">
        <v>329.63</v>
      </c>
      <c r="E157" s="2">
        <v>331.55</v>
      </c>
      <c r="F157" s="3">
        <v>331.63</v>
      </c>
      <c r="G157" s="3">
        <v>329.72</v>
      </c>
      <c r="H157" s="3"/>
      <c r="I157" s="3"/>
      <c r="J157" s="1"/>
      <c r="K157" s="1"/>
    </row>
    <row r="158" spans="1:11" x14ac:dyDescent="0.3">
      <c r="A158" s="1" t="str">
        <f t="shared" si="3"/>
        <v>Piano mezzo-forte</v>
      </c>
      <c r="B158" s="1" t="s">
        <v>36</v>
      </c>
      <c r="C158" s="1">
        <v>9615</v>
      </c>
      <c r="D158" s="1">
        <v>349.23</v>
      </c>
      <c r="E158" s="2">
        <v>356.11</v>
      </c>
      <c r="F158" s="3">
        <v>350.73</v>
      </c>
      <c r="G158" s="3">
        <v>349.83</v>
      </c>
      <c r="H158" s="3"/>
      <c r="I158" s="3"/>
      <c r="J158" s="1"/>
      <c r="K158" s="1"/>
    </row>
    <row r="159" spans="1:11" x14ac:dyDescent="0.3">
      <c r="A159" s="1" t="str">
        <f t="shared" si="3"/>
        <v>Piano mezzo-forte</v>
      </c>
      <c r="B159" s="1" t="s">
        <v>44</v>
      </c>
      <c r="C159" s="1">
        <v>9615</v>
      </c>
      <c r="D159" s="1">
        <v>369.99</v>
      </c>
      <c r="E159" s="2">
        <v>369.81</v>
      </c>
      <c r="F159" s="3">
        <v>371.62</v>
      </c>
      <c r="G159" s="3">
        <v>368.2</v>
      </c>
      <c r="H159" s="3"/>
      <c r="I159" s="3"/>
      <c r="J159" s="1"/>
      <c r="K159" s="1"/>
    </row>
    <row r="160" spans="1:11" x14ac:dyDescent="0.3">
      <c r="A160" s="1" t="str">
        <f t="shared" si="3"/>
        <v>Piano mezzo-forte</v>
      </c>
      <c r="B160" s="1" t="s">
        <v>40</v>
      </c>
      <c r="C160" s="1">
        <v>9615</v>
      </c>
      <c r="D160" s="1">
        <v>392</v>
      </c>
      <c r="E160" s="2">
        <v>400.63</v>
      </c>
      <c r="F160" s="3">
        <v>396.11</v>
      </c>
      <c r="G160" s="3">
        <v>394.23</v>
      </c>
      <c r="H160" s="3"/>
      <c r="I160" s="3"/>
      <c r="J160" s="1"/>
      <c r="K160" s="1"/>
    </row>
    <row r="161" spans="1:11" x14ac:dyDescent="0.3">
      <c r="A161" s="1" t="str">
        <f t="shared" si="3"/>
        <v>Piano mezzo-forte</v>
      </c>
      <c r="B161" s="1" t="s">
        <v>6</v>
      </c>
      <c r="C161" s="1">
        <v>9615</v>
      </c>
      <c r="D161" s="1">
        <v>415.3</v>
      </c>
      <c r="E161" s="2">
        <v>418.04</v>
      </c>
      <c r="F161" s="3">
        <v>417.79</v>
      </c>
      <c r="G161" s="3">
        <v>414.03</v>
      </c>
      <c r="H161" s="3"/>
      <c r="I161" s="3"/>
      <c r="J161" s="1"/>
      <c r="K161" s="1"/>
    </row>
    <row r="162" spans="1:11" x14ac:dyDescent="0.3">
      <c r="A162" s="1" t="str">
        <f t="shared" si="3"/>
        <v>Piano mezzo-forte</v>
      </c>
      <c r="B162" s="1" t="s">
        <v>2</v>
      </c>
      <c r="C162" s="1">
        <v>9615</v>
      </c>
      <c r="D162" s="1">
        <v>440</v>
      </c>
      <c r="E162" s="2">
        <v>437.05</v>
      </c>
      <c r="F162" s="3">
        <v>441.62</v>
      </c>
      <c r="G162" s="3">
        <v>437.33</v>
      </c>
      <c r="H162" s="3"/>
      <c r="I162" s="3"/>
      <c r="J162" s="1"/>
      <c r="K162" s="1"/>
    </row>
    <row r="163" spans="1:11" x14ac:dyDescent="0.3">
      <c r="A163" s="1" t="str">
        <f t="shared" si="3"/>
        <v>Piano mezzo-forte</v>
      </c>
      <c r="B163" s="1" t="s">
        <v>14</v>
      </c>
      <c r="C163" s="1">
        <v>9615</v>
      </c>
      <c r="D163" s="1">
        <v>466.16</v>
      </c>
      <c r="E163" s="2">
        <v>457.86</v>
      </c>
      <c r="F163" s="3">
        <v>467.49</v>
      </c>
      <c r="G163" s="3">
        <v>460.7</v>
      </c>
      <c r="H163" s="3"/>
      <c r="I163" s="3"/>
      <c r="J163" s="1"/>
      <c r="K163" s="1"/>
    </row>
    <row r="164" spans="1:11" x14ac:dyDescent="0.3">
      <c r="A164" s="1" t="str">
        <f t="shared" si="3"/>
        <v>Piano mezzo-forte</v>
      </c>
      <c r="B164" s="1" t="s">
        <v>10</v>
      </c>
      <c r="C164" s="1">
        <v>9615</v>
      </c>
      <c r="D164" s="1">
        <v>493.88</v>
      </c>
      <c r="E164" s="2">
        <v>506.05</v>
      </c>
      <c r="F164" s="3">
        <v>498.52</v>
      </c>
      <c r="G164" s="3">
        <v>497.69</v>
      </c>
      <c r="H164" s="3"/>
      <c r="I164" s="3"/>
      <c r="J164" s="1"/>
      <c r="K164" s="1"/>
    </row>
    <row r="165" spans="1:11" x14ac:dyDescent="0.3">
      <c r="A165" s="1" t="str">
        <f t="shared" si="3"/>
        <v>Piano mezzo-forte</v>
      </c>
      <c r="B165" s="1" t="s">
        <v>18</v>
      </c>
      <c r="C165" s="1">
        <v>9615</v>
      </c>
      <c r="D165" s="1">
        <v>523.25</v>
      </c>
      <c r="E165" s="2">
        <v>534.16999999999996</v>
      </c>
      <c r="F165" s="3">
        <v>526.1</v>
      </c>
      <c r="G165" s="3">
        <v>525.03</v>
      </c>
      <c r="H165" s="3"/>
      <c r="I165" s="3"/>
      <c r="J165" s="1"/>
      <c r="K165" s="1"/>
    </row>
    <row r="166" spans="1:11" x14ac:dyDescent="0.3">
      <c r="A166" s="1" t="str">
        <f t="shared" si="3"/>
        <v>Piano mezzo-forte</v>
      </c>
      <c r="B166" s="1" t="s">
        <v>25</v>
      </c>
      <c r="C166" s="1">
        <v>9615</v>
      </c>
      <c r="D166" s="1">
        <v>554.37</v>
      </c>
      <c r="E166" s="2">
        <v>565.59</v>
      </c>
      <c r="F166" s="3">
        <v>557.20000000000005</v>
      </c>
      <c r="G166" s="3">
        <v>553.79999999999995</v>
      </c>
      <c r="H166" s="3"/>
      <c r="I166" s="3"/>
      <c r="J166" s="1"/>
      <c r="K166" s="1"/>
    </row>
    <row r="167" spans="1:11" x14ac:dyDescent="0.3">
      <c r="A167" s="1" t="str">
        <f t="shared" si="3"/>
        <v>Piano mezzo-forte</v>
      </c>
      <c r="B167" s="1" t="s">
        <v>22</v>
      </c>
      <c r="C167" s="1">
        <v>9615</v>
      </c>
      <c r="D167" s="1">
        <v>587.33000000000004</v>
      </c>
      <c r="E167" s="2">
        <v>600.94000000000005</v>
      </c>
      <c r="F167" s="3">
        <v>589.96</v>
      </c>
      <c r="G167" s="3">
        <v>586.97</v>
      </c>
      <c r="H167" s="3"/>
      <c r="I167" s="3"/>
      <c r="J167" s="1"/>
      <c r="K167" s="1"/>
    </row>
    <row r="168" spans="1:11" x14ac:dyDescent="0.3">
      <c r="A168" s="1" t="str">
        <f t="shared" si="3"/>
        <v>Piano mezzo-forte</v>
      </c>
      <c r="B168" s="1" t="s">
        <v>33</v>
      </c>
      <c r="C168" s="1">
        <v>9615</v>
      </c>
      <c r="D168" s="1">
        <v>622.25</v>
      </c>
      <c r="E168" s="2">
        <v>641</v>
      </c>
      <c r="F168" s="3">
        <v>624.58000000000004</v>
      </c>
      <c r="G168" s="3">
        <v>622.59</v>
      </c>
      <c r="H168" s="3"/>
      <c r="I168" s="3"/>
      <c r="J168" s="1"/>
      <c r="K168" s="1"/>
    </row>
    <row r="169" spans="1:11" x14ac:dyDescent="0.3">
      <c r="A169" s="1" t="str">
        <f t="shared" si="3"/>
        <v>Piano mezzo-forte</v>
      </c>
      <c r="B169" s="1" t="s">
        <v>29</v>
      </c>
      <c r="C169" s="1">
        <v>9615</v>
      </c>
      <c r="D169" s="1">
        <v>659.26</v>
      </c>
      <c r="E169" s="2">
        <v>641</v>
      </c>
      <c r="F169" s="3">
        <v>662.34</v>
      </c>
      <c r="G169" s="3">
        <v>649.57000000000005</v>
      </c>
      <c r="H169" s="3"/>
      <c r="I169" s="3"/>
      <c r="J169" s="1"/>
      <c r="K169" s="1"/>
    </row>
    <row r="170" spans="1:11" x14ac:dyDescent="0.3">
      <c r="A170" s="1" t="str">
        <f t="shared" si="3"/>
        <v>Piano mezzo-forte</v>
      </c>
      <c r="B170" s="1" t="s">
        <v>37</v>
      </c>
      <c r="C170" s="1">
        <v>9615</v>
      </c>
      <c r="D170" s="1">
        <v>698.46</v>
      </c>
      <c r="E170" s="2">
        <v>686.79</v>
      </c>
      <c r="F170" s="3">
        <v>702.05</v>
      </c>
      <c r="G170" s="3">
        <v>693.73</v>
      </c>
      <c r="H170" s="3"/>
      <c r="I170" s="3"/>
      <c r="J170" s="1"/>
      <c r="K170" s="1"/>
    </row>
    <row r="171" spans="1:11" x14ac:dyDescent="0.3">
      <c r="A171" s="1" t="str">
        <f t="shared" si="3"/>
        <v>Piano mezzo-forte</v>
      </c>
      <c r="B171" s="1" t="s">
        <v>45</v>
      </c>
      <c r="C171" s="1">
        <v>9615</v>
      </c>
      <c r="D171" s="1">
        <v>739.99</v>
      </c>
      <c r="E171" s="2">
        <v>739.62</v>
      </c>
      <c r="F171" s="3">
        <v>742.5</v>
      </c>
      <c r="G171" s="3">
        <v>735.71</v>
      </c>
      <c r="H171" s="3"/>
      <c r="I171" s="3"/>
      <c r="J171" s="1"/>
      <c r="K171" s="1"/>
    </row>
    <row r="172" spans="1:11" x14ac:dyDescent="0.3">
      <c r="A172" s="1" t="str">
        <f t="shared" si="3"/>
        <v>Piano mezzo-forte</v>
      </c>
      <c r="B172" s="1" t="s">
        <v>41</v>
      </c>
      <c r="C172" s="1">
        <v>9615</v>
      </c>
      <c r="D172" s="1">
        <v>783.99</v>
      </c>
      <c r="E172" s="2">
        <v>801.25</v>
      </c>
      <c r="F172" s="3">
        <v>788.33</v>
      </c>
      <c r="G172" s="3">
        <v>785.04</v>
      </c>
      <c r="H172" s="3"/>
      <c r="I172" s="3"/>
      <c r="J172" s="1"/>
      <c r="K172" s="1"/>
    </row>
    <row r="173" spans="1:11" x14ac:dyDescent="0.3">
      <c r="A173" s="1" t="str">
        <f t="shared" si="3"/>
        <v>Piano mezzo-forte</v>
      </c>
      <c r="B173" s="1" t="s">
        <v>7</v>
      </c>
      <c r="C173" s="1">
        <v>9615</v>
      </c>
      <c r="D173" s="1">
        <v>830.61</v>
      </c>
      <c r="E173" s="2">
        <v>874.09</v>
      </c>
      <c r="F173" s="3">
        <v>838.32</v>
      </c>
      <c r="G173" s="3">
        <v>836.88</v>
      </c>
      <c r="H173" s="3"/>
      <c r="I173" s="3"/>
      <c r="J173" s="1"/>
      <c r="K173" s="1"/>
    </row>
    <row r="174" spans="1:11" x14ac:dyDescent="0.3">
      <c r="A174" s="1" t="str">
        <f t="shared" si="3"/>
        <v>Piano mezzo-forte</v>
      </c>
      <c r="B174" s="1" t="s">
        <v>3</v>
      </c>
      <c r="C174" s="1">
        <v>9615</v>
      </c>
      <c r="D174" s="1">
        <v>880</v>
      </c>
      <c r="E174" s="2">
        <v>874.09</v>
      </c>
      <c r="F174" s="3">
        <v>885.05</v>
      </c>
      <c r="G174" s="3">
        <v>877.84</v>
      </c>
      <c r="H174" s="3"/>
      <c r="I174" s="3"/>
      <c r="J174" s="1"/>
      <c r="K174" s="1"/>
    </row>
    <row r="175" spans="1:11" x14ac:dyDescent="0.3">
      <c r="A175" s="1" t="str">
        <f t="shared" si="3"/>
        <v>Piano mezzo-forte</v>
      </c>
      <c r="B175" s="1" t="s">
        <v>15</v>
      </c>
      <c r="C175" s="1">
        <v>9615</v>
      </c>
      <c r="D175" s="1">
        <v>932.33</v>
      </c>
      <c r="E175" s="2">
        <v>961.5</v>
      </c>
      <c r="F175" s="3">
        <v>938.23</v>
      </c>
      <c r="G175" s="3">
        <v>935.22</v>
      </c>
      <c r="H175" s="3"/>
      <c r="I175" s="3"/>
      <c r="J175" s="1"/>
      <c r="K175" s="1"/>
    </row>
    <row r="176" spans="1:11" x14ac:dyDescent="0.3">
      <c r="A176" s="1" t="str">
        <f t="shared" si="3"/>
        <v>Piano mezzo-forte</v>
      </c>
      <c r="B176" s="1" t="s">
        <v>11</v>
      </c>
      <c r="C176" s="1">
        <v>9615</v>
      </c>
      <c r="D176" s="1">
        <v>987.77</v>
      </c>
      <c r="E176" s="2">
        <v>961.5</v>
      </c>
      <c r="F176" s="3">
        <v>997.98</v>
      </c>
      <c r="G176" s="3">
        <v>987.95</v>
      </c>
      <c r="H176" s="3"/>
      <c r="I176" s="3"/>
      <c r="J176" s="1"/>
      <c r="K176" s="1"/>
    </row>
    <row r="177" spans="1:11" x14ac:dyDescent="0.3">
      <c r="A177" s="1" t="str">
        <f t="shared" si="3"/>
        <v>Piano mezzo-forte</v>
      </c>
      <c r="B177" s="1" t="s">
        <v>19</v>
      </c>
      <c r="C177" s="1">
        <v>9615</v>
      </c>
      <c r="D177" s="1">
        <v>1046.5</v>
      </c>
      <c r="E177" s="2">
        <v>1068.33</v>
      </c>
      <c r="F177" s="3">
        <v>1056.03</v>
      </c>
      <c r="G177" s="3">
        <v>1052.3800000000001</v>
      </c>
      <c r="H177" s="3"/>
      <c r="I177" s="3"/>
      <c r="J177" s="1"/>
      <c r="K177" s="1"/>
    </row>
    <row r="178" spans="1:11" x14ac:dyDescent="0.3">
      <c r="A178" s="1" t="str">
        <f t="shared" si="3"/>
        <v>Piano mezzo-forte</v>
      </c>
      <c r="B178" s="1" t="s">
        <v>26</v>
      </c>
      <c r="C178" s="1">
        <v>9615</v>
      </c>
      <c r="D178" s="1">
        <v>1108.73</v>
      </c>
      <c r="E178" s="2">
        <v>1068.33</v>
      </c>
      <c r="F178" s="3">
        <v>1111.3</v>
      </c>
      <c r="G178" s="3">
        <v>1102.56</v>
      </c>
      <c r="H178" s="3"/>
      <c r="I178" s="3"/>
      <c r="J178" s="1"/>
      <c r="K178" s="1"/>
    </row>
    <row r="179" spans="1:11" x14ac:dyDescent="0.3">
      <c r="A179" s="1" t="str">
        <f t="shared" si="3"/>
        <v>Piano mezzo-forte</v>
      </c>
      <c r="B179" s="1" t="s">
        <v>23</v>
      </c>
      <c r="C179" s="1">
        <v>9615</v>
      </c>
      <c r="D179" s="1">
        <v>1174.6600000000001</v>
      </c>
      <c r="E179" s="2">
        <v>1201.8800000000001</v>
      </c>
      <c r="F179" s="3">
        <v>1183.43</v>
      </c>
      <c r="G179" s="3">
        <v>1180.22</v>
      </c>
      <c r="H179" s="3"/>
      <c r="I179" s="3"/>
      <c r="J179" s="1"/>
      <c r="K179" s="1"/>
    </row>
    <row r="180" spans="1:11" x14ac:dyDescent="0.3">
      <c r="A180" s="1" t="str">
        <f t="shared" si="3"/>
        <v>Piano mezzo-forte</v>
      </c>
      <c r="B180" s="1" t="s">
        <v>34</v>
      </c>
      <c r="C180" s="1">
        <v>9615</v>
      </c>
      <c r="D180" s="1">
        <v>1244.51</v>
      </c>
      <c r="E180" s="2">
        <v>1201.8800000000001</v>
      </c>
      <c r="F180" s="3">
        <v>1250.05</v>
      </c>
      <c r="G180" s="3">
        <v>1242.82</v>
      </c>
      <c r="H180" s="3"/>
      <c r="I180" s="3"/>
      <c r="J180" s="1"/>
      <c r="K180" s="1"/>
    </row>
    <row r="181" spans="1:11" x14ac:dyDescent="0.3">
      <c r="A181" s="1" t="str">
        <f t="shared" si="3"/>
        <v>Piano mezzo-forte</v>
      </c>
      <c r="B181" s="1" t="s">
        <v>30</v>
      </c>
      <c r="C181" s="1">
        <v>9615</v>
      </c>
      <c r="D181" s="1">
        <v>1318.51</v>
      </c>
      <c r="E181" s="2">
        <v>1373.57</v>
      </c>
      <c r="F181" s="3">
        <v>1331.2</v>
      </c>
      <c r="G181" s="3">
        <v>1329.16</v>
      </c>
      <c r="H181" s="3"/>
      <c r="I181" s="3"/>
      <c r="J181" s="1"/>
      <c r="K181" s="1"/>
    </row>
    <row r="182" spans="1:11" x14ac:dyDescent="0.3">
      <c r="A182" s="1" t="str">
        <f t="shared" ref="A182:A201" si="4">A181</f>
        <v>Piano mezzo-forte</v>
      </c>
      <c r="B182" s="1" t="s">
        <v>38</v>
      </c>
      <c r="C182" s="1">
        <v>9615</v>
      </c>
      <c r="D182" s="1">
        <v>1396.91</v>
      </c>
      <c r="E182" s="2">
        <v>1373.57</v>
      </c>
      <c r="F182" s="3">
        <v>1394.92</v>
      </c>
      <c r="G182" s="3">
        <v>1365.21</v>
      </c>
      <c r="H182" s="3"/>
      <c r="I182" s="3"/>
      <c r="J182" s="1"/>
      <c r="K182" s="1"/>
    </row>
    <row r="183" spans="1:11" x14ac:dyDescent="0.3">
      <c r="A183" s="1" t="str">
        <f t="shared" si="4"/>
        <v>Piano mezzo-forte</v>
      </c>
      <c r="B183" s="1" t="s">
        <v>46</v>
      </c>
      <c r="C183" s="1">
        <v>9615</v>
      </c>
      <c r="D183" s="1">
        <v>1479.98</v>
      </c>
      <c r="E183" s="2"/>
      <c r="F183" s="3">
        <v>1491.18</v>
      </c>
      <c r="G183" s="3">
        <v>1489.76</v>
      </c>
      <c r="H183" s="3"/>
      <c r="I183" s="3"/>
      <c r="J183" s="1"/>
      <c r="K183" s="1"/>
    </row>
    <row r="184" spans="1:11" x14ac:dyDescent="0.3">
      <c r="A184" s="1" t="str">
        <f t="shared" si="4"/>
        <v>Piano mezzo-forte</v>
      </c>
      <c r="B184" s="1" t="s">
        <v>42</v>
      </c>
      <c r="C184" s="1">
        <v>9615</v>
      </c>
      <c r="D184" s="1">
        <v>1567.98</v>
      </c>
      <c r="E184" s="2"/>
      <c r="F184" s="3"/>
      <c r="G184" s="3">
        <v>1550.81</v>
      </c>
      <c r="H184" s="3"/>
      <c r="I184" s="3"/>
      <c r="J184" s="1"/>
      <c r="K184" s="1"/>
    </row>
    <row r="185" spans="1:11" x14ac:dyDescent="0.3">
      <c r="A185" s="1" t="str">
        <f t="shared" si="4"/>
        <v>Piano mezzo-forte</v>
      </c>
      <c r="B185" s="1" t="s">
        <v>8</v>
      </c>
      <c r="C185" s="1">
        <v>9615</v>
      </c>
      <c r="D185" s="1">
        <v>1661.22</v>
      </c>
      <c r="E185" s="2"/>
      <c r="F185" s="3"/>
      <c r="G185" s="3"/>
      <c r="H185" s="3"/>
      <c r="I185" s="3"/>
      <c r="J185" s="1"/>
      <c r="K185" s="1"/>
    </row>
    <row r="186" spans="1:11" x14ac:dyDescent="0.3">
      <c r="A186" s="1" t="str">
        <f t="shared" si="4"/>
        <v>Piano mezzo-forte</v>
      </c>
      <c r="B186" s="1" t="s">
        <v>4</v>
      </c>
      <c r="C186" s="1">
        <v>9615</v>
      </c>
      <c r="D186" s="1">
        <v>1760</v>
      </c>
      <c r="E186" s="2"/>
      <c r="F186" s="3"/>
      <c r="G186" s="3"/>
      <c r="H186" s="3"/>
      <c r="I186" s="3"/>
      <c r="J186" s="1"/>
      <c r="K186" s="1"/>
    </row>
    <row r="187" spans="1:11" x14ac:dyDescent="0.3">
      <c r="A187" s="1" t="str">
        <f t="shared" si="4"/>
        <v>Piano mezzo-forte</v>
      </c>
      <c r="B187" s="1" t="s">
        <v>16</v>
      </c>
      <c r="C187" s="1">
        <v>9615</v>
      </c>
      <c r="D187" s="1">
        <v>1864.66</v>
      </c>
      <c r="E187" s="2"/>
      <c r="F187" s="3"/>
      <c r="G187" s="3"/>
      <c r="H187" s="3"/>
      <c r="I187" s="3"/>
      <c r="J187" s="1"/>
      <c r="K187" s="1"/>
    </row>
    <row r="188" spans="1:11" x14ac:dyDescent="0.3">
      <c r="A188" s="1" t="str">
        <f t="shared" si="4"/>
        <v>Piano mezzo-forte</v>
      </c>
      <c r="B188" s="1" t="s">
        <v>12</v>
      </c>
      <c r="C188" s="1">
        <v>9615</v>
      </c>
      <c r="D188" s="1">
        <v>1975.53</v>
      </c>
      <c r="E188" s="2"/>
      <c r="F188" s="3"/>
      <c r="G188" s="3"/>
      <c r="H188" s="3"/>
      <c r="I188" s="3"/>
      <c r="J188" s="1"/>
      <c r="K188" s="1"/>
    </row>
    <row r="189" spans="1:11" x14ac:dyDescent="0.3">
      <c r="A189" s="1" t="str">
        <f t="shared" si="4"/>
        <v>Piano mezzo-forte</v>
      </c>
      <c r="B189" s="1" t="s">
        <v>63</v>
      </c>
      <c r="C189" s="1">
        <v>9615</v>
      </c>
      <c r="D189" s="1">
        <v>2093</v>
      </c>
      <c r="E189" s="2"/>
      <c r="F189" s="3"/>
      <c r="G189" s="3"/>
      <c r="H189" s="3"/>
      <c r="I189" s="3"/>
      <c r="J189" s="1"/>
      <c r="K189" s="1"/>
    </row>
    <row r="190" spans="1:11" x14ac:dyDescent="0.3">
      <c r="A190" s="1" t="str">
        <f t="shared" si="4"/>
        <v>Piano mezzo-forte</v>
      </c>
      <c r="B190" s="1" t="s">
        <v>68</v>
      </c>
      <c r="C190" s="1">
        <v>9615</v>
      </c>
      <c r="D190" s="1">
        <v>2217.46</v>
      </c>
      <c r="E190" s="2"/>
      <c r="F190" s="3"/>
      <c r="G190" s="3"/>
      <c r="H190" s="3"/>
      <c r="I190" s="3"/>
      <c r="J190" s="1"/>
      <c r="K190" s="1"/>
    </row>
    <row r="191" spans="1:11" x14ac:dyDescent="0.3">
      <c r="A191" s="1" t="str">
        <f t="shared" si="4"/>
        <v>Piano mezzo-forte</v>
      </c>
      <c r="B191" s="1" t="s">
        <v>67</v>
      </c>
      <c r="C191" s="1">
        <v>9615</v>
      </c>
      <c r="D191" s="1">
        <v>2349.3200000000002</v>
      </c>
      <c r="E191" s="2"/>
      <c r="F191" s="3"/>
      <c r="G191" s="3"/>
      <c r="H191" s="3"/>
      <c r="I191" s="3"/>
      <c r="J191" s="1"/>
      <c r="K191" s="1"/>
    </row>
    <row r="192" spans="1:11" x14ac:dyDescent="0.3">
      <c r="A192" s="1" t="str">
        <f t="shared" si="4"/>
        <v>Piano mezzo-forte</v>
      </c>
      <c r="B192" s="1" t="s">
        <v>77</v>
      </c>
      <c r="C192" s="1">
        <v>9615</v>
      </c>
      <c r="D192" s="1">
        <v>2489.02</v>
      </c>
      <c r="E192" s="2"/>
      <c r="F192" s="3"/>
      <c r="G192" s="3"/>
      <c r="H192" s="3"/>
      <c r="I192" s="3"/>
      <c r="J192" s="1"/>
      <c r="K192" s="1"/>
    </row>
    <row r="193" spans="1:11" x14ac:dyDescent="0.3">
      <c r="A193" s="1" t="str">
        <f t="shared" si="4"/>
        <v>Piano mezzo-forte</v>
      </c>
      <c r="B193" s="1" t="s">
        <v>74</v>
      </c>
      <c r="C193" s="1">
        <v>9615</v>
      </c>
      <c r="D193" s="1">
        <v>2637.02</v>
      </c>
      <c r="E193" s="2"/>
      <c r="F193" s="3"/>
      <c r="G193" s="3"/>
      <c r="H193" s="3"/>
      <c r="I193" s="3"/>
      <c r="J193" s="1"/>
      <c r="K193" s="1"/>
    </row>
    <row r="194" spans="1:11" x14ac:dyDescent="0.3">
      <c r="A194" s="1" t="str">
        <f t="shared" si="4"/>
        <v>Piano mezzo-forte</v>
      </c>
      <c r="B194" s="1" t="s">
        <v>80</v>
      </c>
      <c r="C194" s="1">
        <v>9615</v>
      </c>
      <c r="D194" s="1">
        <v>2793.83</v>
      </c>
      <c r="E194" s="2"/>
      <c r="F194" s="3"/>
      <c r="G194" s="3">
        <v>743.8</v>
      </c>
      <c r="H194" s="3"/>
      <c r="I194" s="3"/>
      <c r="J194" s="1"/>
      <c r="K194" s="1"/>
    </row>
    <row r="195" spans="1:11" x14ac:dyDescent="0.3">
      <c r="A195" s="1" t="str">
        <f t="shared" si="4"/>
        <v>Piano mezzo-forte</v>
      </c>
      <c r="B195" s="1" t="s">
        <v>86</v>
      </c>
      <c r="C195" s="1">
        <v>9615</v>
      </c>
      <c r="D195" s="1">
        <v>2959.96</v>
      </c>
      <c r="E195" s="2"/>
      <c r="F195" s="3"/>
      <c r="G195" s="3"/>
      <c r="H195" s="3"/>
      <c r="I195" s="3"/>
      <c r="J195" s="1"/>
      <c r="K195" s="1"/>
    </row>
    <row r="196" spans="1:11" x14ac:dyDescent="0.3">
      <c r="A196" s="1" t="str">
        <f t="shared" si="4"/>
        <v>Piano mezzo-forte</v>
      </c>
      <c r="B196" s="1" t="s">
        <v>83</v>
      </c>
      <c r="C196" s="1">
        <v>9615</v>
      </c>
      <c r="D196" s="1">
        <v>3135.96</v>
      </c>
      <c r="E196" s="2"/>
      <c r="F196" s="3"/>
      <c r="G196" s="3"/>
      <c r="H196" s="3"/>
      <c r="I196" s="3"/>
      <c r="J196" s="1"/>
      <c r="K196" s="1"/>
    </row>
    <row r="197" spans="1:11" x14ac:dyDescent="0.3">
      <c r="A197" s="1" t="str">
        <f t="shared" si="4"/>
        <v>Piano mezzo-forte</v>
      </c>
      <c r="B197" s="1" t="s">
        <v>52</v>
      </c>
      <c r="C197" s="1">
        <v>9615</v>
      </c>
      <c r="D197" s="1">
        <v>3322.44</v>
      </c>
      <c r="E197" s="2"/>
      <c r="F197" s="3">
        <v>824.14</v>
      </c>
      <c r="G197" s="3"/>
      <c r="H197" s="3"/>
      <c r="I197" s="3"/>
      <c r="J197" s="1"/>
      <c r="K197" s="1"/>
    </row>
    <row r="198" spans="1:11" x14ac:dyDescent="0.3">
      <c r="A198" s="1" t="str">
        <f t="shared" si="4"/>
        <v>Piano mezzo-forte</v>
      </c>
      <c r="B198" s="1" t="s">
        <v>49</v>
      </c>
      <c r="C198" s="1">
        <v>9615</v>
      </c>
      <c r="D198" s="1">
        <v>3520</v>
      </c>
      <c r="E198" s="2">
        <v>801.25</v>
      </c>
      <c r="F198" s="3">
        <v>466.59</v>
      </c>
      <c r="G198" s="3"/>
      <c r="H198" s="3"/>
      <c r="I198" s="3"/>
      <c r="J198" s="1"/>
      <c r="K198" s="1"/>
    </row>
    <row r="199" spans="1:11" x14ac:dyDescent="0.3">
      <c r="A199" s="1" t="str">
        <f t="shared" si="4"/>
        <v>Piano mezzo-forte</v>
      </c>
      <c r="B199" s="1" t="s">
        <v>59</v>
      </c>
      <c r="C199" s="1">
        <v>9615</v>
      </c>
      <c r="D199" s="1">
        <v>3729.31</v>
      </c>
      <c r="E199" s="2">
        <v>457.86</v>
      </c>
      <c r="F199" s="3"/>
      <c r="G199" s="3"/>
      <c r="H199" s="3"/>
      <c r="I199" s="3"/>
      <c r="J199" s="1"/>
      <c r="K199" s="1"/>
    </row>
    <row r="200" spans="1:11" x14ac:dyDescent="0.3">
      <c r="A200" s="1" t="str">
        <f t="shared" si="4"/>
        <v>Piano mezzo-forte</v>
      </c>
      <c r="B200" s="1" t="s">
        <v>56</v>
      </c>
      <c r="C200" s="1">
        <v>9615</v>
      </c>
      <c r="D200" s="1">
        <v>3951.07</v>
      </c>
      <c r="E200" s="2"/>
      <c r="F200" s="3">
        <v>285.47000000000003</v>
      </c>
      <c r="G200" s="3"/>
      <c r="H200" s="3"/>
      <c r="I200" s="3"/>
      <c r="J200" s="1"/>
      <c r="K200" s="1"/>
    </row>
    <row r="201" spans="1:11" x14ac:dyDescent="0.3">
      <c r="A201" s="1" t="str">
        <f t="shared" si="4"/>
        <v>Piano mezzo-forte</v>
      </c>
      <c r="B201" s="1" t="s">
        <v>64</v>
      </c>
      <c r="C201" s="1">
        <v>9615</v>
      </c>
      <c r="D201" s="1">
        <v>4186.01</v>
      </c>
      <c r="E201" s="2">
        <v>282.79000000000002</v>
      </c>
      <c r="F201" s="3"/>
      <c r="G201" s="3"/>
      <c r="H201" s="3"/>
      <c r="I201" s="3"/>
      <c r="J201" s="1"/>
      <c r="K201" s="1"/>
    </row>
  </sheetData>
  <autoFilter ref="A1:M201" xr:uid="{00000000-0009-0000-0000-000001000000}">
    <filterColumn colId="0">
      <filters>
        <filter val="Piano mezzo-forte"/>
      </filters>
    </filterColumn>
  </autoFilter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Coert Vonk</dc:creator>
  <cp:lastModifiedBy>Coert Vonk</cp:lastModifiedBy>
  <cp:lastPrinted>2016-03-13T23:56:15Z</cp:lastPrinted>
  <dcterms:created xsi:type="dcterms:W3CDTF">2006-09-16T00:00:00Z</dcterms:created>
  <dcterms:modified xsi:type="dcterms:W3CDTF">2022-05-12T23:13:40Z</dcterms:modified>
</cp:coreProperties>
</file>